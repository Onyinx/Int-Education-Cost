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8_{CE410745-C05D-47E3-A692-CB5386CBCFBE}" xr6:coauthVersionLast="47" xr6:coauthVersionMax="47" xr10:uidLastSave="{00000000-0000-0000-0000-000000000000}"/>
  <bookViews>
    <workbookView xWindow="-108" yWindow="-108" windowWidth="23256" windowHeight="12456" activeTab="2" xr2:uid="{61C84DD6-CE42-4605-A48F-60A7EAA972C1}"/>
  </bookViews>
  <sheets>
    <sheet name="International_Education_Costs" sheetId="1" r:id="rId1"/>
    <sheet name="Pivot_Table" sheetId="4" r:id="rId2"/>
    <sheet name="Dash_board" sheetId="5" r:id="rId3"/>
    <sheet name="Country_Summary" sheetId="6" r:id="rId4"/>
  </sheets>
  <definedNames>
    <definedName name="Slicer_City">#N/A</definedName>
    <definedName name="Slicer_Country">#N/A</definedName>
    <definedName name="Slicer_Level">#N/A</definedName>
    <definedName name="Slicer_Program">#N/A</definedName>
    <definedName name="Slicer_University">#N/A</definedName>
  </definedNames>
  <calcPr calcId="191029"/>
  <pivotCaches>
    <pivotCache cacheId="33"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2" i="6" l="1"/>
  <c r="C71" i="6"/>
  <c r="C70" i="6"/>
  <c r="C69" i="6"/>
  <c r="C68" i="6"/>
  <c r="C67" i="6"/>
  <c r="B67" i="6"/>
  <c r="C66" i="6"/>
  <c r="C65" i="6"/>
  <c r="C64" i="6"/>
  <c r="C63" i="6"/>
  <c r="C62" i="6"/>
  <c r="C61" i="6"/>
  <c r="B61" i="6"/>
  <c r="C60" i="6"/>
  <c r="C59" i="6"/>
  <c r="C58" i="6"/>
  <c r="C57" i="6"/>
  <c r="C56" i="6"/>
  <c r="C55" i="6"/>
  <c r="C54" i="6"/>
  <c r="C53" i="6"/>
  <c r="C52" i="6"/>
  <c r="C51" i="6"/>
  <c r="C50" i="6"/>
  <c r="C49" i="6"/>
  <c r="C48" i="6"/>
  <c r="C47" i="6"/>
  <c r="C46" i="6"/>
  <c r="C45" i="6"/>
  <c r="C44" i="6"/>
  <c r="C43" i="6"/>
  <c r="B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2" i="6"/>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B39" i="6" s="1"/>
  <c r="M816" i="1"/>
  <c r="N815" i="1"/>
  <c r="B28" i="6" s="1"/>
  <c r="M815" i="1"/>
  <c r="N814" i="1"/>
  <c r="B22" i="6" s="1"/>
  <c r="M814" i="1"/>
  <c r="N813" i="1"/>
  <c r="B18" i="6" s="1"/>
  <c r="M813" i="1"/>
  <c r="N812" i="1"/>
  <c r="B35" i="6" s="1"/>
  <c r="M812" i="1"/>
  <c r="N811" i="1"/>
  <c r="B29" i="6" s="1"/>
  <c r="M811" i="1"/>
  <c r="N810" i="1"/>
  <c r="B60" i="6" s="1"/>
  <c r="M810" i="1"/>
  <c r="N809" i="1"/>
  <c r="B16" i="6" s="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B25" i="6" s="1"/>
  <c r="M781" i="1"/>
  <c r="N780" i="1"/>
  <c r="M780" i="1"/>
  <c r="N779" i="1"/>
  <c r="M779" i="1"/>
  <c r="N778" i="1"/>
  <c r="M778" i="1"/>
  <c r="N777" i="1"/>
  <c r="M777" i="1"/>
  <c r="N776" i="1"/>
  <c r="B50" i="6" s="1"/>
  <c r="M776" i="1"/>
  <c r="N775" i="1"/>
  <c r="B4" i="6" s="1"/>
  <c r="M775" i="1"/>
  <c r="N774" i="1"/>
  <c r="B32" i="6" s="1"/>
  <c r="M774" i="1"/>
  <c r="N773" i="1"/>
  <c r="M773" i="1"/>
  <c r="N772" i="1"/>
  <c r="B21" i="6" s="1"/>
  <c r="M772" i="1"/>
  <c r="N771" i="1"/>
  <c r="B56" i="6" s="1"/>
  <c r="M771" i="1"/>
  <c r="N770" i="1"/>
  <c r="B62" i="6" s="1"/>
  <c r="M770" i="1"/>
  <c r="N769" i="1"/>
  <c r="B52" i="6" s="1"/>
  <c r="M769" i="1"/>
  <c r="N768" i="1"/>
  <c r="M768" i="1"/>
  <c r="N767" i="1"/>
  <c r="M767" i="1"/>
  <c r="N766" i="1"/>
  <c r="M766" i="1"/>
  <c r="N765" i="1"/>
  <c r="M765" i="1"/>
  <c r="N764" i="1"/>
  <c r="M764" i="1"/>
  <c r="N763" i="1"/>
  <c r="M763" i="1"/>
  <c r="N762" i="1"/>
  <c r="M762" i="1"/>
  <c r="N761" i="1"/>
  <c r="M761" i="1"/>
  <c r="N760" i="1"/>
  <c r="M760" i="1"/>
  <c r="N759" i="1"/>
  <c r="M759" i="1"/>
  <c r="N758" i="1"/>
  <c r="M758" i="1"/>
  <c r="N757" i="1"/>
  <c r="B7" i="6" s="1"/>
  <c r="M757" i="1"/>
  <c r="N756" i="1"/>
  <c r="M756" i="1"/>
  <c r="N755" i="1"/>
  <c r="M755" i="1"/>
  <c r="N754" i="1"/>
  <c r="M754" i="1"/>
  <c r="N753" i="1"/>
  <c r="M753" i="1"/>
  <c r="N752" i="1"/>
  <c r="M752" i="1"/>
  <c r="N751" i="1"/>
  <c r="B55" i="6" s="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B51" i="6" s="1"/>
  <c r="M734" i="1"/>
  <c r="N733" i="1"/>
  <c r="B14" i="6" s="1"/>
  <c r="M733" i="1"/>
  <c r="N732" i="1"/>
  <c r="B41" i="6" s="1"/>
  <c r="M732" i="1"/>
  <c r="N731" i="1"/>
  <c r="B30" i="6" s="1"/>
  <c r="M731" i="1"/>
  <c r="N730" i="1"/>
  <c r="M730" i="1"/>
  <c r="N729" i="1"/>
  <c r="M729" i="1"/>
  <c r="N728" i="1"/>
  <c r="M728" i="1"/>
  <c r="N727" i="1"/>
  <c r="M727" i="1"/>
  <c r="N726" i="1"/>
  <c r="M726" i="1"/>
  <c r="N725" i="1"/>
  <c r="M725" i="1"/>
  <c r="N724" i="1"/>
  <c r="M724" i="1"/>
  <c r="N723" i="1"/>
  <c r="M723" i="1"/>
  <c r="N722" i="1"/>
  <c r="M722" i="1"/>
  <c r="N721" i="1"/>
  <c r="B13" i="6" s="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B17" i="6" s="1"/>
  <c r="M692" i="1"/>
  <c r="N691" i="1"/>
  <c r="M691" i="1"/>
  <c r="N690" i="1"/>
  <c r="B27" i="6" s="1"/>
  <c r="M690" i="1"/>
  <c r="N689" i="1"/>
  <c r="B11" i="6" s="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B37" i="6" s="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B44" i="6" s="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B49" i="6" s="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B31" i="6" s="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B26" i="6" s="1"/>
  <c r="M142" i="1"/>
  <c r="N141" i="1"/>
  <c r="B20" i="6" s="1"/>
  <c r="M141" i="1"/>
  <c r="N140" i="1"/>
  <c r="B42" i="6" s="1"/>
  <c r="M140" i="1"/>
  <c r="N139" i="1"/>
  <c r="B33" i="6" s="1"/>
  <c r="M139" i="1"/>
  <c r="N138" i="1"/>
  <c r="B2" i="6" s="1"/>
  <c r="M138" i="1"/>
  <c r="N137" i="1"/>
  <c r="B36" i="6" s="1"/>
  <c r="M137" i="1"/>
  <c r="N136" i="1"/>
  <c r="B48" i="6" s="1"/>
  <c r="M136" i="1"/>
  <c r="N135" i="1"/>
  <c r="M135" i="1"/>
  <c r="N134" i="1"/>
  <c r="M134" i="1"/>
  <c r="N133" i="1"/>
  <c r="M133" i="1"/>
  <c r="N132" i="1"/>
  <c r="B66" i="6" s="1"/>
  <c r="M132" i="1"/>
  <c r="N131" i="1"/>
  <c r="B58" i="6" s="1"/>
  <c r="M131" i="1"/>
  <c r="N130" i="1"/>
  <c r="B3" i="6" s="1"/>
  <c r="M130" i="1"/>
  <c r="N129" i="1"/>
  <c r="B46" i="6" s="1"/>
  <c r="M129" i="1"/>
  <c r="N128" i="1"/>
  <c r="B40" i="6" s="1"/>
  <c r="M128" i="1"/>
  <c r="N127" i="1"/>
  <c r="B12" i="6" s="1"/>
  <c r="M127" i="1"/>
  <c r="N126" i="1"/>
  <c r="B8" i="6" s="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B9" i="6" s="1"/>
  <c r="M61" i="1"/>
  <c r="N60" i="1"/>
  <c r="B6" i="6" s="1"/>
  <c r="M60" i="1"/>
  <c r="N59" i="1"/>
  <c r="M59" i="1"/>
  <c r="N58" i="1"/>
  <c r="B38" i="6" s="1"/>
  <c r="M58" i="1"/>
  <c r="N57" i="1"/>
  <c r="B34" i="6" s="1"/>
  <c r="M57" i="1"/>
  <c r="N56" i="1"/>
  <c r="M56" i="1"/>
  <c r="N55" i="1"/>
  <c r="M55" i="1"/>
  <c r="N54" i="1"/>
  <c r="M54" i="1"/>
  <c r="N53" i="1"/>
  <c r="M53" i="1"/>
  <c r="N52" i="1"/>
  <c r="M52" i="1"/>
  <c r="N51" i="1"/>
  <c r="B53" i="6" s="1"/>
  <c r="M51" i="1"/>
  <c r="N50" i="1"/>
  <c r="M50" i="1"/>
  <c r="N49" i="1"/>
  <c r="M49" i="1"/>
  <c r="N48" i="1"/>
  <c r="B23" i="6" s="1"/>
  <c r="M48" i="1"/>
  <c r="N47" i="1"/>
  <c r="M47" i="1"/>
  <c r="N46" i="1"/>
  <c r="B15" i="6" s="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B59" i="6" s="1"/>
  <c r="M30" i="1"/>
  <c r="N29" i="1"/>
  <c r="M29" i="1"/>
  <c r="N28" i="1"/>
  <c r="M28" i="1"/>
  <c r="N27" i="1"/>
  <c r="B47" i="6" s="1"/>
  <c r="M27" i="1"/>
  <c r="N26" i="1"/>
  <c r="B65" i="6" s="1"/>
  <c r="M26" i="1"/>
  <c r="N25" i="1"/>
  <c r="M25" i="1"/>
  <c r="N24" i="1"/>
  <c r="M24" i="1"/>
  <c r="N23" i="1"/>
  <c r="M23" i="1"/>
  <c r="N22" i="1"/>
  <c r="M22" i="1"/>
  <c r="N21" i="1"/>
  <c r="M21" i="1"/>
  <c r="N20" i="1"/>
  <c r="M20" i="1"/>
  <c r="N19" i="1"/>
  <c r="B19" i="6" s="1"/>
  <c r="M19" i="1"/>
  <c r="N18" i="1"/>
  <c r="M18" i="1"/>
  <c r="N17" i="1"/>
  <c r="M17" i="1"/>
  <c r="N16" i="1"/>
  <c r="B64" i="6" s="1"/>
  <c r="M16" i="1"/>
  <c r="N15" i="1"/>
  <c r="M15" i="1"/>
  <c r="N14" i="1"/>
  <c r="B54" i="6" s="1"/>
  <c r="M14" i="1"/>
  <c r="N13" i="1"/>
  <c r="B24" i="6" s="1"/>
  <c r="M13" i="1"/>
  <c r="N12" i="1"/>
  <c r="B5" i="6" s="1"/>
  <c r="M12" i="1"/>
  <c r="N11" i="1"/>
  <c r="M11" i="1"/>
  <c r="N10" i="1"/>
  <c r="B45" i="6" s="1"/>
  <c r="M10" i="1"/>
  <c r="N9" i="1"/>
  <c r="B70" i="6" s="1"/>
  <c r="M9" i="1"/>
  <c r="N8" i="1"/>
  <c r="B63" i="6" s="1"/>
  <c r="M8" i="1"/>
  <c r="N7" i="1"/>
  <c r="B57" i="6" s="1"/>
  <c r="M7" i="1"/>
  <c r="P6" i="1"/>
  <c r="N6" i="1"/>
  <c r="B10" i="6" s="1"/>
  <c r="M6" i="1"/>
  <c r="P5" i="1"/>
  <c r="N5" i="1"/>
  <c r="B71" i="6" s="1"/>
  <c r="M5" i="1"/>
  <c r="P4" i="1"/>
  <c r="N4" i="1"/>
  <c r="B68" i="6" s="1"/>
  <c r="M4" i="1"/>
  <c r="P3" i="1"/>
  <c r="N3" i="1"/>
  <c r="B69" i="6" s="1"/>
  <c r="M3" i="1"/>
  <c r="P2" i="1"/>
  <c r="N2" i="1"/>
  <c r="B72" i="6" s="1"/>
  <c r="M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<sst xmlns="http://schemas.openxmlformats.org/spreadsheetml/2006/main" count="4712" uniqueCount="1369">
  <si>
    <t>Country</t>
  </si>
  <si>
    <t>City</t>
  </si>
  <si>
    <t>University</t>
  </si>
  <si>
    <t>Program</t>
  </si>
  <si>
    <t>Level</t>
  </si>
  <si>
    <t>Duration_Years</t>
  </si>
  <si>
    <t>Tuition_USD</t>
  </si>
  <si>
    <t>Living_Cost_Index</t>
  </si>
  <si>
    <t>Rent_USD</t>
  </si>
  <si>
    <t>Visa_Fee_USD</t>
  </si>
  <si>
    <t>Insurance_USD</t>
  </si>
  <si>
    <t>Exchange_Rate</t>
  </si>
  <si>
    <t>USA</t>
  </si>
  <si>
    <t>Cambridge</t>
  </si>
  <si>
    <t>Harvard University</t>
  </si>
  <si>
    <t>Computer Science</t>
  </si>
  <si>
    <t>Master</t>
  </si>
  <si>
    <t>UK</t>
  </si>
  <si>
    <t>London</t>
  </si>
  <si>
    <t>Imperial College London</t>
  </si>
  <si>
    <t>Data Science</t>
  </si>
  <si>
    <t>Canada</t>
  </si>
  <si>
    <t>Toronto</t>
  </si>
  <si>
    <t>University of Toronto</t>
  </si>
  <si>
    <t>Business Analytics</t>
  </si>
  <si>
    <t>Australia</t>
  </si>
  <si>
    <t>Melbourne</t>
  </si>
  <si>
    <t>University of Melbourne</t>
  </si>
  <si>
    <t>Engineering</t>
  </si>
  <si>
    <t>Germany</t>
  </si>
  <si>
    <t>Munich</t>
  </si>
  <si>
    <t>Technical University of Munich</t>
  </si>
  <si>
    <t>Mechanical Engineering</t>
  </si>
  <si>
    <t>Japan</t>
  </si>
  <si>
    <t>Tokyo</t>
  </si>
  <si>
    <t>University of Tokyo</t>
  </si>
  <si>
    <t>Information Science</t>
  </si>
  <si>
    <t>Netherlands</t>
  </si>
  <si>
    <t>Amsterdam</t>
  </si>
  <si>
    <t>University of Amsterdam</t>
  </si>
  <si>
    <t>Artificial Intelligence</t>
  </si>
  <si>
    <t>Singapore</t>
  </si>
  <si>
    <t>National University of Singapore</t>
  </si>
  <si>
    <t>Finance</t>
  </si>
  <si>
    <t>France</t>
  </si>
  <si>
    <t>Paris</t>
  </si>
  <si>
    <t>Sorbonne University</t>
  </si>
  <si>
    <t>International Relations</t>
  </si>
  <si>
    <t>Switzerland</t>
  </si>
  <si>
    <t>Zurich</t>
  </si>
  <si>
    <t>ETH Zurich</t>
  </si>
  <si>
    <t>Physics</t>
  </si>
  <si>
    <t>Sweden</t>
  </si>
  <si>
    <t>Stockholm</t>
  </si>
  <si>
    <t>KTH Royal Institute</t>
  </si>
  <si>
    <t>Sustainable Technology</t>
  </si>
  <si>
    <t>Denmark</t>
  </si>
  <si>
    <t>Copenhagen</t>
  </si>
  <si>
    <t>University of Copenhagen</t>
  </si>
  <si>
    <t>Bioinformatics</t>
  </si>
  <si>
    <t>China</t>
  </si>
  <si>
    <t>Beijing</t>
  </si>
  <si>
    <t>Tsinghua University</t>
  </si>
  <si>
    <t>Computer Engineering</t>
  </si>
  <si>
    <t>South Korea</t>
  </si>
  <si>
    <t>Seoul</t>
  </si>
  <si>
    <t>Seoul National University</t>
  </si>
  <si>
    <t>Digital Media</t>
  </si>
  <si>
    <t>Ireland</t>
  </si>
  <si>
    <t>Dublin</t>
  </si>
  <si>
    <t>Trinity College Dublin</t>
  </si>
  <si>
    <t>Data Analytics</t>
  </si>
  <si>
    <t>Busan</t>
  </si>
  <si>
    <t>Pusan National University</t>
  </si>
  <si>
    <t>Business</t>
  </si>
  <si>
    <t>Bachelor</t>
  </si>
  <si>
    <t>New Zealand</t>
  </si>
  <si>
    <t>Auckland</t>
  </si>
  <si>
    <t>University of Auckland</t>
  </si>
  <si>
    <t>Marine Biology</t>
  </si>
  <si>
    <t>Austria</t>
  </si>
  <si>
    <t>Vienna</t>
  </si>
  <si>
    <t>University of Vienna</t>
  </si>
  <si>
    <t>Social Sciences</t>
  </si>
  <si>
    <t>Belgium</t>
  </si>
  <si>
    <t>Brussels</t>
  </si>
  <si>
    <t>KU Leuven</t>
  </si>
  <si>
    <t>Biomedical Sciences</t>
  </si>
  <si>
    <t>Ann Arbor</t>
  </si>
  <si>
    <t>University of Michigan</t>
  </si>
  <si>
    <t>Aerospace Engineering</t>
  </si>
  <si>
    <t>Atlanta</t>
  </si>
  <si>
    <t>Georgia Tech</t>
  </si>
  <si>
    <t>Industrial Engineering</t>
  </si>
  <si>
    <t>Austin</t>
  </si>
  <si>
    <t>UT Austin</t>
  </si>
  <si>
    <t>Chemical Engineering</t>
  </si>
  <si>
    <t>Bristol</t>
  </si>
  <si>
    <t>University of Bristol</t>
  </si>
  <si>
    <t>Mathematics</t>
  </si>
  <si>
    <t>Ottawa</t>
  </si>
  <si>
    <t>University of Ottawa</t>
  </si>
  <si>
    <t>Political Science</t>
  </si>
  <si>
    <t>Hong Kong</t>
  </si>
  <si>
    <t>HKUST</t>
  </si>
  <si>
    <t>Portugal</t>
  </si>
  <si>
    <t>Lisbon</t>
  </si>
  <si>
    <t>University of Lisbon</t>
  </si>
  <si>
    <t>Architecture</t>
  </si>
  <si>
    <t>Israel</t>
  </si>
  <si>
    <t>Tel Aviv</t>
  </si>
  <si>
    <t>Tel Aviv University</t>
  </si>
  <si>
    <t>Taiwan</t>
  </si>
  <si>
    <t>Taipei</t>
  </si>
  <si>
    <t>National Taiwan University</t>
  </si>
  <si>
    <t>Electronics Engineering</t>
  </si>
  <si>
    <t>Czech Republic</t>
  </si>
  <si>
    <t>Prague</t>
  </si>
  <si>
    <t>Charles University</t>
  </si>
  <si>
    <t>Medicine</t>
  </si>
  <si>
    <t>Stanford</t>
  </si>
  <si>
    <t>Stanford University</t>
  </si>
  <si>
    <t>PhD</t>
  </si>
  <si>
    <t>Boston</t>
  </si>
  <si>
    <t>MIT</t>
  </si>
  <si>
    <t>Electrical Engineering</t>
  </si>
  <si>
    <t>Oxford</t>
  </si>
  <si>
    <t>University of Oxford</t>
  </si>
  <si>
    <t>University of Cambridge</t>
  </si>
  <si>
    <t>Heidelberg</t>
  </si>
  <si>
    <t>Heidelberg University</t>
  </si>
  <si>
    <t>Molecular Biology</t>
  </si>
  <si>
    <t>Basel</t>
  </si>
  <si>
    <t>ETH Basel</t>
  </si>
  <si>
    <t>Pharmaceutical Sciences</t>
  </si>
  <si>
    <t>Delft</t>
  </si>
  <si>
    <t>TU Delft</t>
  </si>
  <si>
    <t>Robotics</t>
  </si>
  <si>
    <t>NTU Singapore</t>
  </si>
  <si>
    <t>Waterloo</t>
  </si>
  <si>
    <t>University of Waterloo</t>
  </si>
  <si>
    <t>Quantum Computing</t>
  </si>
  <si>
    <t>Canberra</t>
  </si>
  <si>
    <t>Australian National University</t>
  </si>
  <si>
    <t>Climate Science</t>
  </si>
  <si>
    <t>Lund</t>
  </si>
  <si>
    <t>Lund University</t>
  </si>
  <si>
    <t>Neuroscience</t>
  </si>
  <si>
    <t>San Diego</t>
  </si>
  <si>
    <t>UC San Diego</t>
  </si>
  <si>
    <t>Seattle</t>
  </si>
  <si>
    <t>University of Washington</t>
  </si>
  <si>
    <t>Edmonton</t>
  </si>
  <si>
    <t>University of Alberta</t>
  </si>
  <si>
    <t>Glasgow</t>
  </si>
  <si>
    <t>University of Glasgow</t>
  </si>
  <si>
    <t>India</t>
  </si>
  <si>
    <t>Bangalore</t>
  </si>
  <si>
    <t>Indian Institute of Science</t>
  </si>
  <si>
    <t>Aalborg</t>
  </si>
  <si>
    <t>Aalborg University</t>
  </si>
  <si>
    <t>Poland</t>
  </si>
  <si>
    <t>Warsaw</t>
  </si>
  <si>
    <t>University of Warsaw</t>
  </si>
  <si>
    <t>Galway</t>
  </si>
  <si>
    <t>NUI Galway</t>
  </si>
  <si>
    <t>Daejeon</t>
  </si>
  <si>
    <t>KAIST</t>
  </si>
  <si>
    <t>Malaysia</t>
  </si>
  <si>
    <t>Kuala Lumpur</t>
  </si>
  <si>
    <t>University of Malaya</t>
  </si>
  <si>
    <t>Berkeley</t>
  </si>
  <si>
    <t>UC Berkeley</t>
  </si>
  <si>
    <t>Manchester</t>
  </si>
  <si>
    <t>University of Manchester</t>
  </si>
  <si>
    <t>Economics</t>
  </si>
  <si>
    <t>Vancouver</t>
  </si>
  <si>
    <t>University of British Columbia</t>
  </si>
  <si>
    <t>Psychology</t>
  </si>
  <si>
    <t>Sydney</t>
  </si>
  <si>
    <t>University of Sydney</t>
  </si>
  <si>
    <t>Berlin</t>
  </si>
  <si>
    <t>Free University of Berlin</t>
  </si>
  <si>
    <t>International Business</t>
  </si>
  <si>
    <t>Spain</t>
  </si>
  <si>
    <t>Barcelona</t>
  </si>
  <si>
    <t>University of Barcelona</t>
  </si>
  <si>
    <t>Italy</t>
  </si>
  <si>
    <t>Milan</t>
  </si>
  <si>
    <t>Politecnico di Milano</t>
  </si>
  <si>
    <t>Design</t>
  </si>
  <si>
    <t>Rotterdam</t>
  </si>
  <si>
    <t>Erasmus University</t>
  </si>
  <si>
    <t>Finland</t>
  </si>
  <si>
    <t>Helsinki</t>
  </si>
  <si>
    <t>University of Helsinki</t>
  </si>
  <si>
    <t>Norway</t>
  </si>
  <si>
    <t>Oslo</t>
  </si>
  <si>
    <t>University of Oslo</t>
  </si>
  <si>
    <t>Environmental Science</t>
  </si>
  <si>
    <t>Osaka</t>
  </si>
  <si>
    <t>Osaka University</t>
  </si>
  <si>
    <t>Kyoto</t>
  </si>
  <si>
    <t>Kyoto University</t>
  </si>
  <si>
    <t>Nagoya</t>
  </si>
  <si>
    <t>Nagoya University</t>
  </si>
  <si>
    <t>Sendai</t>
  </si>
  <si>
    <t>Tohoku University</t>
  </si>
  <si>
    <t>Software Engineering</t>
  </si>
  <si>
    <t>Fukuoka</t>
  </si>
  <si>
    <t>Kyushu University</t>
  </si>
  <si>
    <t>Sapporo</t>
  </si>
  <si>
    <t>Hokkaido University</t>
  </si>
  <si>
    <t>Tokyo Institute of Technology</t>
  </si>
  <si>
    <t>Tsukuba</t>
  </si>
  <si>
    <t>University of Tsukuba</t>
  </si>
  <si>
    <t>Information Systems</t>
  </si>
  <si>
    <t>Kobe</t>
  </si>
  <si>
    <t>Kobe University</t>
  </si>
  <si>
    <t>Kanazawa</t>
  </si>
  <si>
    <t>Kanazawa University</t>
  </si>
  <si>
    <t>Hiroshima</t>
  </si>
  <si>
    <t>Hiroshima University</t>
  </si>
  <si>
    <t>Information Technology</t>
  </si>
  <si>
    <t>Adelaide</t>
  </si>
  <si>
    <t>University of Adelaide</t>
  </si>
  <si>
    <t>Perth</t>
  </si>
  <si>
    <t>University of Western Australia</t>
  </si>
  <si>
    <t>Gold Coast</t>
  </si>
  <si>
    <t>Griffith University</t>
  </si>
  <si>
    <t>Hobart</t>
  </si>
  <si>
    <t>University of Tasmania</t>
  </si>
  <si>
    <t>Newcastle</t>
  </si>
  <si>
    <t>University of Newcastle</t>
  </si>
  <si>
    <t>Wollongong</t>
  </si>
  <si>
    <t>University of Wollongong</t>
  </si>
  <si>
    <t>Darwin</t>
  </si>
  <si>
    <t>Charles Darwin University</t>
  </si>
  <si>
    <t>Townsville</t>
  </si>
  <si>
    <t>James Cook University</t>
  </si>
  <si>
    <t>Sunshine Coast</t>
  </si>
  <si>
    <t>USC</t>
  </si>
  <si>
    <t>Software Development</t>
  </si>
  <si>
    <t>Armidale</t>
  </si>
  <si>
    <t>University of New England</t>
  </si>
  <si>
    <t>Computing Science</t>
  </si>
  <si>
    <t>Dresden</t>
  </si>
  <si>
    <t>TU Dresden</t>
  </si>
  <si>
    <t>Stuttgart</t>
  </si>
  <si>
    <t>University of Stuttgart</t>
  </si>
  <si>
    <t>Hamburg</t>
  </si>
  <si>
    <t>TU Hamburg</t>
  </si>
  <si>
    <t>Data Engineering</t>
  </si>
  <si>
    <t>Aachen</t>
  </si>
  <si>
    <t>RWTH Aachen</t>
  </si>
  <si>
    <t>Karlsruhe</t>
  </si>
  <si>
    <t>KIT</t>
  </si>
  <si>
    <t>Darmstadt</t>
  </si>
  <si>
    <t>TU Darmstadt</t>
  </si>
  <si>
    <t>Braunschweig</t>
  </si>
  <si>
    <t>TU Braunschweig</t>
  </si>
  <si>
    <t>Software Systems</t>
  </si>
  <si>
    <t>Jena</t>
  </si>
  <si>
    <t>University of Jena</t>
  </si>
  <si>
    <t>Hannover</t>
  </si>
  <si>
    <t>Leibniz University</t>
  </si>
  <si>
    <t>Digital Engineering</t>
  </si>
  <si>
    <t>Freiburg</t>
  </si>
  <si>
    <t>University of Freiburg</t>
  </si>
  <si>
    <t>Robotics &amp; AI</t>
  </si>
  <si>
    <t>Philadelphia</t>
  </si>
  <si>
    <t>University of Pennsylvania</t>
  </si>
  <si>
    <t>Chicago</t>
  </si>
  <si>
    <t>University of Chicago</t>
  </si>
  <si>
    <t>Baltimore</t>
  </si>
  <si>
    <t>Johns Hopkins</t>
  </si>
  <si>
    <t>Nashville</t>
  </si>
  <si>
    <t>Vanderbilt University</t>
  </si>
  <si>
    <t>Durham</t>
  </si>
  <si>
    <t>Duke University</t>
  </si>
  <si>
    <t>Madison</t>
  </si>
  <si>
    <t>University of Wisconsin</t>
  </si>
  <si>
    <t>Tempe</t>
  </si>
  <si>
    <t>Arizona State University</t>
  </si>
  <si>
    <t>Boulder</t>
  </si>
  <si>
    <t>University of Colorado</t>
  </si>
  <si>
    <t>Minneapolis</t>
  </si>
  <si>
    <t>University of Minnesota</t>
  </si>
  <si>
    <t>Davis</t>
  </si>
  <si>
    <t>UC Davis</t>
  </si>
  <si>
    <t>University College London</t>
  </si>
  <si>
    <t>Leeds</t>
  </si>
  <si>
    <t>University of Leeds</t>
  </si>
  <si>
    <t>Warwick</t>
  </si>
  <si>
    <t>University of Warwick</t>
  </si>
  <si>
    <t>Sheffield</t>
  </si>
  <si>
    <t>University of Sheffield</t>
  </si>
  <si>
    <t>Birmingham</t>
  </si>
  <si>
    <t>University of Birmingham</t>
  </si>
  <si>
    <t>Southampton</t>
  </si>
  <si>
    <t>University of Southampton</t>
  </si>
  <si>
    <t>Cybersecurity</t>
  </si>
  <si>
    <t>Nottingham</t>
  </si>
  <si>
    <t>University of Nottingham</t>
  </si>
  <si>
    <t>Cardiff</t>
  </si>
  <si>
    <t>Cardiff University</t>
  </si>
  <si>
    <t>Belfast</t>
  </si>
  <si>
    <t>Queen's University Belfast</t>
  </si>
  <si>
    <t>Computing Systems</t>
  </si>
  <si>
    <t>Newcastle University</t>
  </si>
  <si>
    <t>Hamilton</t>
  </si>
  <si>
    <t>McMaster University</t>
  </si>
  <si>
    <t>London ON</t>
  </si>
  <si>
    <t>Western University</t>
  </si>
  <si>
    <t>Halifax</t>
  </si>
  <si>
    <t>Dalhousie University</t>
  </si>
  <si>
    <t>Victoria</t>
  </si>
  <si>
    <t>University of Victoria</t>
  </si>
  <si>
    <t>Quebec City</t>
  </si>
  <si>
    <t>Laval University</t>
  </si>
  <si>
    <t>Winnipeg</t>
  </si>
  <si>
    <t>University of Manitoba</t>
  </si>
  <si>
    <t>Regina</t>
  </si>
  <si>
    <t>University of Regina</t>
  </si>
  <si>
    <t>St. John's</t>
  </si>
  <si>
    <t>Memorial University</t>
  </si>
  <si>
    <t>Saskatoon</t>
  </si>
  <si>
    <t>University of Saskatchewan</t>
  </si>
  <si>
    <t>Sherbrooke</t>
  </si>
  <si>
    <t>UniversitÃ© de Sherbrooke</t>
  </si>
  <si>
    <t>Pittsburgh</t>
  </si>
  <si>
    <t>Carnegie Mellon</t>
  </si>
  <si>
    <t>Urbana-Champaign</t>
  </si>
  <si>
    <t>UIUC</t>
  </si>
  <si>
    <t>Calgary</t>
  </si>
  <si>
    <t>University of Calgary</t>
  </si>
  <si>
    <t>Brazil</t>
  </si>
  <si>
    <t>Sao Paulo</t>
  </si>
  <si>
    <t>University of Sao Paulo</t>
  </si>
  <si>
    <t>Turkey</t>
  </si>
  <si>
    <t>Istanbul</t>
  </si>
  <si>
    <t>Bogazici University</t>
  </si>
  <si>
    <t>Russia</t>
  </si>
  <si>
    <t>Moscow</t>
  </si>
  <si>
    <t>Moscow State University</t>
  </si>
  <si>
    <t>Applied Mathematics</t>
  </si>
  <si>
    <t>Mexico</t>
  </si>
  <si>
    <t>Mexico City</t>
  </si>
  <si>
    <t>UNAM</t>
  </si>
  <si>
    <t>Greece</t>
  </si>
  <si>
    <t>Athens</t>
  </si>
  <si>
    <t>National Technical University</t>
  </si>
  <si>
    <t>Thailand</t>
  </si>
  <si>
    <t>Bangkok</t>
  </si>
  <si>
    <t>Chulalongkorn University</t>
  </si>
  <si>
    <t>UAE</t>
  </si>
  <si>
    <t>Dubai</t>
  </si>
  <si>
    <t>American University in Dubai</t>
  </si>
  <si>
    <t>New York</t>
  </si>
  <si>
    <t>Columbia University</t>
  </si>
  <si>
    <t>Ithaca</t>
  </si>
  <si>
    <t>Cornell University</t>
  </si>
  <si>
    <t>Shenzhen</t>
  </si>
  <si>
    <t>SUSTech</t>
  </si>
  <si>
    <t>South Africa</t>
  </si>
  <si>
    <t>Cape Town</t>
  </si>
  <si>
    <t>University of Cape Town</t>
  </si>
  <si>
    <t>Egypt</t>
  </si>
  <si>
    <t>Cairo</t>
  </si>
  <si>
    <t>American University in Cairo</t>
  </si>
  <si>
    <t>Argentina</t>
  </si>
  <si>
    <t>Buenos Aires</t>
  </si>
  <si>
    <t>University of Buenos Aires</t>
  </si>
  <si>
    <t>Indonesia</t>
  </si>
  <si>
    <t>Jakarta</t>
  </si>
  <si>
    <t>University of Indonesia</t>
  </si>
  <si>
    <t>Saudi Arabia</t>
  </si>
  <si>
    <t>Riyadh</t>
  </si>
  <si>
    <t>King Saud University</t>
  </si>
  <si>
    <t>Nigeria</t>
  </si>
  <si>
    <t>Lagos</t>
  </si>
  <si>
    <t>University of Lagos</t>
  </si>
  <si>
    <t>Vietnam</t>
  </si>
  <si>
    <t>Ho Chi Minh City</t>
  </si>
  <si>
    <t>HCMUT</t>
  </si>
  <si>
    <t>Eindhoven</t>
  </si>
  <si>
    <t>TU Eindhoven</t>
  </si>
  <si>
    <t>Enschede</t>
  </si>
  <si>
    <t>University of Twente</t>
  </si>
  <si>
    <t>Groningen</t>
  </si>
  <si>
    <t>University of Groningen</t>
  </si>
  <si>
    <t>Maastricht</t>
  </si>
  <si>
    <t>Maastricht University</t>
  </si>
  <si>
    <t>Nijmegen</t>
  </si>
  <si>
    <t>Radboud University</t>
  </si>
  <si>
    <t>Software Science</t>
  </si>
  <si>
    <t>Tilburg</t>
  </si>
  <si>
    <t>Tilburg University</t>
  </si>
  <si>
    <t>Utrecht</t>
  </si>
  <si>
    <t>Utrecht University</t>
  </si>
  <si>
    <t>Game Technology</t>
  </si>
  <si>
    <t>Leiden</t>
  </si>
  <si>
    <t>Leiden University</t>
  </si>
  <si>
    <t>Wageningen</t>
  </si>
  <si>
    <t>Wageningen University</t>
  </si>
  <si>
    <t>VU Amsterdam</t>
  </si>
  <si>
    <t>Nanyang Technological University</t>
  </si>
  <si>
    <t>Singapore Management University</t>
  </si>
  <si>
    <t>SUTD</t>
  </si>
  <si>
    <t>Computer Science &amp; Design</t>
  </si>
  <si>
    <t>SIT</t>
  </si>
  <si>
    <t>NUS</t>
  </si>
  <si>
    <t>NTU</t>
  </si>
  <si>
    <t>Data Science &amp; AI</t>
  </si>
  <si>
    <t>Technology &amp; Innovation</t>
  </si>
  <si>
    <t>SMU</t>
  </si>
  <si>
    <t>Computing &amp; Innovation</t>
  </si>
  <si>
    <t>Digital Systems &amp; AI</t>
  </si>
  <si>
    <t>Ã‰cole Polytechnique</t>
  </si>
  <si>
    <t>Toulouse</t>
  </si>
  <si>
    <t>INSA Toulouse</t>
  </si>
  <si>
    <t>Lyon</t>
  </si>
  <si>
    <t>Ã‰cole Normale SupÃ©rieure Lyon</t>
  </si>
  <si>
    <t>Grenoble</t>
  </si>
  <si>
    <t>Grenoble INP</t>
  </si>
  <si>
    <t>Nice</t>
  </si>
  <si>
    <t>UniversitÃ© Nice Sophia Antipolis</t>
  </si>
  <si>
    <t>Bordeaux</t>
  </si>
  <si>
    <t>University of Bordeaux</t>
  </si>
  <si>
    <t>Lille</t>
  </si>
  <si>
    <t>UniversitÃ© de Lille</t>
  </si>
  <si>
    <t>Rennes</t>
  </si>
  <si>
    <t>INSA Rennes</t>
  </si>
  <si>
    <t>Strasbourg</t>
  </si>
  <si>
    <t>University of Strasbourg</t>
  </si>
  <si>
    <t>Digital Systems</t>
  </si>
  <si>
    <t>Montpellier</t>
  </si>
  <si>
    <t>University of Montpellier</t>
  </si>
  <si>
    <t>Lausanne</t>
  </si>
  <si>
    <t>EPFL</t>
  </si>
  <si>
    <t>Geneva</t>
  </si>
  <si>
    <t>University of Geneva</t>
  </si>
  <si>
    <t>Bern</t>
  </si>
  <si>
    <t>University of Bern</t>
  </si>
  <si>
    <t>St. Gallen</t>
  </si>
  <si>
    <t>University of St. Gallen</t>
  </si>
  <si>
    <t>Business Informatics</t>
  </si>
  <si>
    <t>Lugano</t>
  </si>
  <si>
    <t>USI</t>
  </si>
  <si>
    <t>Fribourg</t>
  </si>
  <si>
    <t>University of Fribourg</t>
  </si>
  <si>
    <t>Neuchatel</t>
  </si>
  <si>
    <t>University of Neuchatel</t>
  </si>
  <si>
    <t>University of Basel</t>
  </si>
  <si>
    <t>Computational Science</t>
  </si>
  <si>
    <t>Lucerne</t>
  </si>
  <si>
    <t>University of Lucerne</t>
  </si>
  <si>
    <t>Digital Innovation</t>
  </si>
  <si>
    <t>Winterthur</t>
  </si>
  <si>
    <t>ZHAW</t>
  </si>
  <si>
    <t>Aarhus</t>
  </si>
  <si>
    <t>Aarhus University</t>
  </si>
  <si>
    <t>Peking University</t>
  </si>
  <si>
    <t>Shanghai</t>
  </si>
  <si>
    <t>Fudan University</t>
  </si>
  <si>
    <t>Shanghai Jiao Tong University</t>
  </si>
  <si>
    <t>Hangzhou</t>
  </si>
  <si>
    <t>Zhejiang University</t>
  </si>
  <si>
    <t>Nanjing</t>
  </si>
  <si>
    <t>Nanjing University</t>
  </si>
  <si>
    <t>Guangzhou</t>
  </si>
  <si>
    <t>Sun Yat-sen University</t>
  </si>
  <si>
    <t>Wuhan</t>
  </si>
  <si>
    <t>Wuhan University</t>
  </si>
  <si>
    <t>Xi'an</t>
  </si>
  <si>
    <t>Xi'an Jiaotong University</t>
  </si>
  <si>
    <t>Chengdu</t>
  </si>
  <si>
    <t>Sichuan University</t>
  </si>
  <si>
    <t>Korea University</t>
  </si>
  <si>
    <t>Yonsei University</t>
  </si>
  <si>
    <t>Hanyang University</t>
  </si>
  <si>
    <t>Sungkyunkwan University</t>
  </si>
  <si>
    <t>Robotics Engineering</t>
  </si>
  <si>
    <t>Chungnam National University</t>
  </si>
  <si>
    <t>Dong-A University</t>
  </si>
  <si>
    <t>Daegu</t>
  </si>
  <si>
    <t>Kyungpook National University</t>
  </si>
  <si>
    <t>Yeungnam University</t>
  </si>
  <si>
    <t>Gwangju</t>
  </si>
  <si>
    <t>Chonnam National University</t>
  </si>
  <si>
    <t>Chosun University</t>
  </si>
  <si>
    <t>Ulsan</t>
  </si>
  <si>
    <t>Ulsan National Institute of Science and Technology</t>
  </si>
  <si>
    <t>AI Engineering</t>
  </si>
  <si>
    <t>University of Ulsan</t>
  </si>
  <si>
    <t>Pohang</t>
  </si>
  <si>
    <t>POSTECH</t>
  </si>
  <si>
    <t>Incheon</t>
  </si>
  <si>
    <t>Incheon National University</t>
  </si>
  <si>
    <t>Suwon</t>
  </si>
  <si>
    <t>Sungkyunkwan University (Suwon)</t>
  </si>
  <si>
    <t>Computer Systems</t>
  </si>
  <si>
    <t>Hanbat National University</t>
  </si>
  <si>
    <t>Information Security</t>
  </si>
  <si>
    <t>Cheongju</t>
  </si>
  <si>
    <t>Chungbuk National University</t>
  </si>
  <si>
    <t>Computer Networks</t>
  </si>
  <si>
    <t>New Haven</t>
  </si>
  <si>
    <t>Yale University</t>
  </si>
  <si>
    <t>Princeton</t>
  </si>
  <si>
    <t>Princeton University</t>
  </si>
  <si>
    <t>Los Angeles</t>
  </si>
  <si>
    <t>UCLA</t>
  </si>
  <si>
    <t>University of Texas Austin</t>
  </si>
  <si>
    <t>University of Wisconsin-Madison</t>
  </si>
  <si>
    <t>Urbana</t>
  </si>
  <si>
    <t>University of Illinois Urbana-Champaign</t>
  </si>
  <si>
    <t>Columbus</t>
  </si>
  <si>
    <t>Ohio State University</t>
  </si>
  <si>
    <t>West Lafayette</t>
  </si>
  <si>
    <t>Purdue University</t>
  </si>
  <si>
    <t>Gainesville</t>
  </si>
  <si>
    <t>University of Florida</t>
  </si>
  <si>
    <t>Raleigh</t>
  </si>
  <si>
    <t>NC State University</t>
  </si>
  <si>
    <t>College Station</t>
  </si>
  <si>
    <t>Texas A&amp;M University</t>
  </si>
  <si>
    <t>Corvallis</t>
  </si>
  <si>
    <t>Oregon State University</t>
  </si>
  <si>
    <t>King's College London</t>
  </si>
  <si>
    <t>Edinburgh</t>
  </si>
  <si>
    <t>University of Edinburgh</t>
  </si>
  <si>
    <t>Durham University</t>
  </si>
  <si>
    <t>Liverpool</t>
  </si>
  <si>
    <t>University of Liverpool</t>
  </si>
  <si>
    <t>Aberdeen</t>
  </si>
  <si>
    <t>University of Aberdeen</t>
  </si>
  <si>
    <t>Leicester</t>
  </si>
  <si>
    <t>University of Leicester</t>
  </si>
  <si>
    <t>Reading</t>
  </si>
  <si>
    <t>University of Reading</t>
  </si>
  <si>
    <t>Sussex</t>
  </si>
  <si>
    <t>University of Sussex</t>
  </si>
  <si>
    <t>Essex</t>
  </si>
  <si>
    <t>University of Essex</t>
  </si>
  <si>
    <t>Bath</t>
  </si>
  <si>
    <t>University of Bath</t>
  </si>
  <si>
    <t>Surrey</t>
  </si>
  <si>
    <t>University of Surrey</t>
  </si>
  <si>
    <t>Exeter</t>
  </si>
  <si>
    <t>University of Exeter</t>
  </si>
  <si>
    <t>Kent</t>
  </si>
  <si>
    <t>University of Kent</t>
  </si>
  <si>
    <t>Dundee</t>
  </si>
  <si>
    <t>University of Dundee</t>
  </si>
  <si>
    <t>Strathclyde</t>
  </si>
  <si>
    <t>University of Strathclyde</t>
  </si>
  <si>
    <t>Heriot-Watt</t>
  </si>
  <si>
    <t>Heriot-Watt University</t>
  </si>
  <si>
    <t>Loughborough</t>
  </si>
  <si>
    <t>Loughborough University</t>
  </si>
  <si>
    <t>Brunel</t>
  </si>
  <si>
    <t>Brunel University London</t>
  </si>
  <si>
    <t>Queen Mary</t>
  </si>
  <si>
    <t>Queen Mary University of London</t>
  </si>
  <si>
    <t>Royal Holloway</t>
  </si>
  <si>
    <t>Royal Holloway University</t>
  </si>
  <si>
    <t>Lancaster</t>
  </si>
  <si>
    <t>Lancaster University</t>
  </si>
  <si>
    <t>Swansea</t>
  </si>
  <si>
    <t>Swansea University</t>
  </si>
  <si>
    <t>Aston</t>
  </si>
  <si>
    <t>Aston University</t>
  </si>
  <si>
    <t>Hull</t>
  </si>
  <si>
    <t>University of Hull</t>
  </si>
  <si>
    <t>Keele</t>
  </si>
  <si>
    <t>Keele University</t>
  </si>
  <si>
    <t>Plymouth</t>
  </si>
  <si>
    <t>University of Plymouth</t>
  </si>
  <si>
    <t>Portsmouth</t>
  </si>
  <si>
    <t>University of Portsmouth</t>
  </si>
  <si>
    <t>Ulster</t>
  </si>
  <si>
    <t>Ulster University</t>
  </si>
  <si>
    <t>Northumbria</t>
  </si>
  <si>
    <t>Northumbria University</t>
  </si>
  <si>
    <t>Coventry</t>
  </si>
  <si>
    <t>Coventry University</t>
  </si>
  <si>
    <t>Oxford Brookes</t>
  </si>
  <si>
    <t>Oxford Brookes University</t>
  </si>
  <si>
    <t>De Montfort</t>
  </si>
  <si>
    <t>De Montfort University</t>
  </si>
  <si>
    <t>Westminster</t>
  </si>
  <si>
    <t>University of Westminster</t>
  </si>
  <si>
    <t>Greenwich</t>
  </si>
  <si>
    <t>University of Greenwich</t>
  </si>
  <si>
    <t>Kingston</t>
  </si>
  <si>
    <t>Kingston University</t>
  </si>
  <si>
    <t>Montreal</t>
  </si>
  <si>
    <t>McGill University</t>
  </si>
  <si>
    <t>University of Montreal</t>
  </si>
  <si>
    <t>Queen's University</t>
  </si>
  <si>
    <t>University of Sherbrooke</t>
  </si>
  <si>
    <t>Windsor</t>
  </si>
  <si>
    <t>University of Windsor</t>
  </si>
  <si>
    <t>Moncton</t>
  </si>
  <si>
    <t>University of New Brunswick</t>
  </si>
  <si>
    <t>Trois-Rivieres</t>
  </si>
  <si>
    <t>UQTR</t>
  </si>
  <si>
    <t>Thunder Bay</t>
  </si>
  <si>
    <t>Lakehead University</t>
  </si>
  <si>
    <t>Sudbury</t>
  </si>
  <si>
    <t>Laurentian University</t>
  </si>
  <si>
    <t>Prince George</t>
  </si>
  <si>
    <t>UNBC</t>
  </si>
  <si>
    <t>Brisbane</t>
  </si>
  <si>
    <t>University of Queensland</t>
  </si>
  <si>
    <t>University of New South Wales</t>
  </si>
  <si>
    <t>Monash University</t>
  </si>
  <si>
    <t>Queensland University of Technology</t>
  </si>
  <si>
    <t>University of Technology Sydney</t>
  </si>
  <si>
    <t>RMIT University</t>
  </si>
  <si>
    <t>University of Canberra</t>
  </si>
  <si>
    <t>Toowoomba</t>
  </si>
  <si>
    <t>University of Southern Queensland</t>
  </si>
  <si>
    <t>Ballarat</t>
  </si>
  <si>
    <t>Federation University</t>
  </si>
  <si>
    <t>Lismore</t>
  </si>
  <si>
    <t>Southern Cross University</t>
  </si>
  <si>
    <t>TU Munich</t>
  </si>
  <si>
    <t>Chemistry</t>
  </si>
  <si>
    <t>Humboldt University</t>
  </si>
  <si>
    <t>Biotechnology</t>
  </si>
  <si>
    <t>University of Hamburg</t>
  </si>
  <si>
    <t>Frankfurt</t>
  </si>
  <si>
    <t>Goethe University</t>
  </si>
  <si>
    <t>Cologne</t>
  </si>
  <si>
    <t>University of Cologne</t>
  </si>
  <si>
    <t>Bonn</t>
  </si>
  <si>
    <t>University of Bonn</t>
  </si>
  <si>
    <t>San Francisco</t>
  </si>
  <si>
    <t>UC Berkeley Extension</t>
  </si>
  <si>
    <t>Anglia Ruskin University</t>
  </si>
  <si>
    <t>University of Lyon</t>
  </si>
  <si>
    <t>Cork</t>
  </si>
  <si>
    <t>University College Cork</t>
  </si>
  <si>
    <t>Northeastern University</t>
  </si>
  <si>
    <t>University of Toulouse</t>
  </si>
  <si>
    <t>Limerick</t>
  </si>
  <si>
    <t>University of Limerick</t>
  </si>
  <si>
    <t>University of Salford</t>
  </si>
  <si>
    <t>University of Nice</t>
  </si>
  <si>
    <t>Maynooth</t>
  </si>
  <si>
    <t>Maynooth University</t>
  </si>
  <si>
    <t>Denver</t>
  </si>
  <si>
    <t>University of Denver</t>
  </si>
  <si>
    <t>Leeds Beckett University</t>
  </si>
  <si>
    <t>University of Lille</t>
  </si>
  <si>
    <t>Waterford</t>
  </si>
  <si>
    <t>Waterford IT</t>
  </si>
  <si>
    <t>Portland</t>
  </si>
  <si>
    <t>Portland State University</t>
  </si>
  <si>
    <t>UWE Bristol</t>
  </si>
  <si>
    <t>USI Lugano</t>
  </si>
  <si>
    <t>Sligo</t>
  </si>
  <si>
    <t>IT Sligo</t>
  </si>
  <si>
    <t>Athlone</t>
  </si>
  <si>
    <t>Athlone IT</t>
  </si>
  <si>
    <t>Technical University Berlin</t>
  </si>
  <si>
    <t>Trondheim</t>
  </si>
  <si>
    <t>NTNU</t>
  </si>
  <si>
    <t>Espoo</t>
  </si>
  <si>
    <t>Aalto University</t>
  </si>
  <si>
    <t>LMU Munich</t>
  </si>
  <si>
    <t>Bergen</t>
  </si>
  <si>
    <t>University of Bergen</t>
  </si>
  <si>
    <t>Tampere</t>
  </si>
  <si>
    <t>Tampere University</t>
  </si>
  <si>
    <t>Odense</t>
  </si>
  <si>
    <t>University of Southern Denmark</t>
  </si>
  <si>
    <t>TromsÃ¸</t>
  </si>
  <si>
    <t>UiT Arctic University</t>
  </si>
  <si>
    <t>Marine Technology</t>
  </si>
  <si>
    <t>Turku</t>
  </si>
  <si>
    <t>University of Turku</t>
  </si>
  <si>
    <t>Energy Engineering</t>
  </si>
  <si>
    <t>Stavanger</t>
  </si>
  <si>
    <t>University of Stavanger</t>
  </si>
  <si>
    <t>Petroleum Engineering</t>
  </si>
  <si>
    <t>Oulu</t>
  </si>
  <si>
    <t>University of Oulu</t>
  </si>
  <si>
    <t>Roskilde</t>
  </si>
  <si>
    <t>Roskilde University</t>
  </si>
  <si>
    <t>Ã…s</t>
  </si>
  <si>
    <t>Norwegian University of Life Sciences</t>
  </si>
  <si>
    <t>Vaasa</t>
  </si>
  <si>
    <t>University of Vaasa</t>
  </si>
  <si>
    <t>Industrial Management</t>
  </si>
  <si>
    <t>Mechatronics</t>
  </si>
  <si>
    <t>Lyngby</t>
  </si>
  <si>
    <t>Technical University of Denmark</t>
  </si>
  <si>
    <t>Quantum Engineering</t>
  </si>
  <si>
    <t>BodÃ¸</t>
  </si>
  <si>
    <t>Nord University</t>
  </si>
  <si>
    <t>JyvÃ¤skylÃ¤</t>
  </si>
  <si>
    <t>University of JyvÃ¤skylÃ¤</t>
  </si>
  <si>
    <t>Kolding</t>
  </si>
  <si>
    <t>GjÃ¸vik</t>
  </si>
  <si>
    <t>NTNU GjÃ¸vik</t>
  </si>
  <si>
    <t>Lappeenranta</t>
  </si>
  <si>
    <t>LUT University</t>
  </si>
  <si>
    <t>Bremen</t>
  </si>
  <si>
    <t>University of Bremen</t>
  </si>
  <si>
    <t>Esbjerg</t>
  </si>
  <si>
    <t>Environmental Engineering</t>
  </si>
  <si>
    <t>Kristiansand</t>
  </si>
  <si>
    <t>University of Agder</t>
  </si>
  <si>
    <t>Renewable Energy</t>
  </si>
  <si>
    <t>Kuopio</t>
  </si>
  <si>
    <t>University of Eastern Finland</t>
  </si>
  <si>
    <t>Materials Science</t>
  </si>
  <si>
    <t>Slagelse</t>
  </si>
  <si>
    <t>Horten</t>
  </si>
  <si>
    <t>University of South-Eastern Norway</t>
  </si>
  <si>
    <t>Systems Engineering</t>
  </si>
  <si>
    <t>Joensuu</t>
  </si>
  <si>
    <t>Forestry Sciences</t>
  </si>
  <si>
    <t>Photonics</t>
  </si>
  <si>
    <t>Herning</t>
  </si>
  <si>
    <t>Engineering Management</t>
  </si>
  <si>
    <t>Engineering Physics</t>
  </si>
  <si>
    <t>Wellington</t>
  </si>
  <si>
    <t>Victoria University</t>
  </si>
  <si>
    <t>Uppsala</t>
  </si>
  <si>
    <t>Uppsala University</t>
  </si>
  <si>
    <t>Porto</t>
  </si>
  <si>
    <t>University of Porto</t>
  </si>
  <si>
    <t>Christchurch</t>
  </si>
  <si>
    <t>University of Canterbury</t>
  </si>
  <si>
    <t>Gothenburg</t>
  </si>
  <si>
    <t>Chalmers University</t>
  </si>
  <si>
    <t>Sustainable Energy</t>
  </si>
  <si>
    <t>Coimbra</t>
  </si>
  <si>
    <t>University of Coimbra</t>
  </si>
  <si>
    <t>Dunedin</t>
  </si>
  <si>
    <t>University of Otago</t>
  </si>
  <si>
    <t>Braga</t>
  </si>
  <si>
    <t>University of Minho</t>
  </si>
  <si>
    <t>University of Waikato</t>
  </si>
  <si>
    <t>Machine Learning</t>
  </si>
  <si>
    <t>LinkÃ¶ping</t>
  </si>
  <si>
    <t>LinkÃ¶ping University</t>
  </si>
  <si>
    <t>Aveiro</t>
  </si>
  <si>
    <t>University of Aveiro</t>
  </si>
  <si>
    <t>Palmerston North</t>
  </si>
  <si>
    <t>Massey University</t>
  </si>
  <si>
    <t>UmeÃ¥</t>
  </si>
  <si>
    <t>UmeÃ¥ University</t>
  </si>
  <si>
    <t>Faro</t>
  </si>
  <si>
    <t>University of Algarve</t>
  </si>
  <si>
    <t>AUT University</t>
  </si>
  <si>
    <t>Karlstad</t>
  </si>
  <si>
    <t>Karlstad University</t>
  </si>
  <si>
    <t>Vila Real</t>
  </si>
  <si>
    <t>UTAD</t>
  </si>
  <si>
    <t>Lincoln University</t>
  </si>
  <si>
    <t>Environmental Computing</t>
  </si>
  <si>
    <t>VÃ¤xjÃ¶</t>
  </si>
  <si>
    <t>Linnaeus University</t>
  </si>
  <si>
    <t>Funchal</t>
  </si>
  <si>
    <t>University of Madeira</t>
  </si>
  <si>
    <t>Computing</t>
  </si>
  <si>
    <t>Madrid</t>
  </si>
  <si>
    <t>Universidad PolitÃ©cnica de Madrid</t>
  </si>
  <si>
    <t>TU Wien</t>
  </si>
  <si>
    <t>Universitat PolitÃ¨cnica Catalunya</t>
  </si>
  <si>
    <t>Rome</t>
  </si>
  <si>
    <t>Sapienza University</t>
  </si>
  <si>
    <t>Thessaloniki</t>
  </si>
  <si>
    <t>Aristotle University</t>
  </si>
  <si>
    <t>Graz</t>
  </si>
  <si>
    <t>TU Graz</t>
  </si>
  <si>
    <t>Monterrey</t>
  </si>
  <si>
    <t>TecnolÃ³gico de Monterrey</t>
  </si>
  <si>
    <t>Valencia</t>
  </si>
  <si>
    <t>Universitat de ValÃ¨ncia</t>
  </si>
  <si>
    <t>Turin</t>
  </si>
  <si>
    <t>Politecnico di Torino</t>
  </si>
  <si>
    <t>Patras</t>
  </si>
  <si>
    <t>University of Patras</t>
  </si>
  <si>
    <t>Electronics</t>
  </si>
  <si>
    <t>Linz</t>
  </si>
  <si>
    <t>Johannes Kepler University</t>
  </si>
  <si>
    <t>Guadalajara</t>
  </si>
  <si>
    <t>Universidad de Guadalajara</t>
  </si>
  <si>
    <t>Seville</t>
  </si>
  <si>
    <t>Universidad de Sevilla</t>
  </si>
  <si>
    <t>Bologna</t>
  </si>
  <si>
    <t>University of Bologna</t>
  </si>
  <si>
    <t>Heraklion</t>
  </si>
  <si>
    <t>University of Crete</t>
  </si>
  <si>
    <t>Salzburg</t>
  </si>
  <si>
    <t>University of Salzburg</t>
  </si>
  <si>
    <t>Puebla</t>
  </si>
  <si>
    <t>UDLAP</t>
  </si>
  <si>
    <t>Bilbao</t>
  </si>
  <si>
    <t>University of the Basque Country</t>
  </si>
  <si>
    <t>Florence</t>
  </si>
  <si>
    <t>University of Florence</t>
  </si>
  <si>
    <t>Volos</t>
  </si>
  <si>
    <t>University of Thessaly</t>
  </si>
  <si>
    <t>Innsbruck</t>
  </si>
  <si>
    <t>University of Innsbruck</t>
  </si>
  <si>
    <t>Queretaro</t>
  </si>
  <si>
    <t>Tecnologico de Monterrey</t>
  </si>
  <si>
    <t>Granada</t>
  </si>
  <si>
    <t>University of Granada</t>
  </si>
  <si>
    <t>Naples</t>
  </si>
  <si>
    <t>University of Naples</t>
  </si>
  <si>
    <t>Ioannina</t>
  </si>
  <si>
    <t>University of Ioannina</t>
  </si>
  <si>
    <t>Klagenfurt</t>
  </si>
  <si>
    <t>University of Klagenfurt</t>
  </si>
  <si>
    <t>Merida</t>
  </si>
  <si>
    <t>Universidad Autonoma de Yucatan</t>
  </si>
  <si>
    <t>Zaragoza</t>
  </si>
  <si>
    <t>University of Zaragoza</t>
  </si>
  <si>
    <t>Pisa</t>
  </si>
  <si>
    <t>University of Pisa</t>
  </si>
  <si>
    <t>Rhodes</t>
  </si>
  <si>
    <t>University of the Aegean</t>
  </si>
  <si>
    <t>Leoben</t>
  </si>
  <si>
    <t>MontanuniversitÃ¤t Leoben</t>
  </si>
  <si>
    <t>Tijuana</t>
  </si>
  <si>
    <t>CETYS Universidad</t>
  </si>
  <si>
    <t>Salamanca</t>
  </si>
  <si>
    <t>University of Salamanca</t>
  </si>
  <si>
    <t>Padua</t>
  </si>
  <si>
    <t>University of Padua</t>
  </si>
  <si>
    <t>Chania</t>
  </si>
  <si>
    <t>Technical University of Crete</t>
  </si>
  <si>
    <t>Electronic Engineering</t>
  </si>
  <si>
    <t>Dornbirn</t>
  </si>
  <si>
    <t>FH Vorarlberg</t>
  </si>
  <si>
    <t>San Luis Potosi</t>
  </si>
  <si>
    <t>UASLP</t>
  </si>
  <si>
    <t>Athens University of Economics</t>
  </si>
  <si>
    <t>Leuven</t>
  </si>
  <si>
    <t>Hungary</t>
  </si>
  <si>
    <t>Budapest</t>
  </si>
  <si>
    <t>Budapest University of Technology</t>
  </si>
  <si>
    <t>Ankara</t>
  </si>
  <si>
    <t>Middle East Technical University</t>
  </si>
  <si>
    <t>University of Macedonia</t>
  </si>
  <si>
    <t>Ghent</t>
  </si>
  <si>
    <t>Ghent University</t>
  </si>
  <si>
    <t>Debrecen</t>
  </si>
  <si>
    <t>University of Debrecen</t>
  </si>
  <si>
    <t>Saint Petersburg</t>
  </si>
  <si>
    <t>ITMO University</t>
  </si>
  <si>
    <t>Izmir</t>
  </si>
  <si>
    <t>Ege University</t>
  </si>
  <si>
    <t>Vrije Universiteit Brussel</t>
  </si>
  <si>
    <t>Szeged</t>
  </si>
  <si>
    <t>University of Szeged</t>
  </si>
  <si>
    <t>Novosibirsk</t>
  </si>
  <si>
    <t>Novosibirsk State University</t>
  </si>
  <si>
    <t>Eskisehir</t>
  </si>
  <si>
    <t>Anadolu University</t>
  </si>
  <si>
    <t>Antwerp</t>
  </si>
  <si>
    <t>University of Antwerp</t>
  </si>
  <si>
    <t>Pecs</t>
  </si>
  <si>
    <t>University of Pecs</t>
  </si>
  <si>
    <t>Kazan</t>
  </si>
  <si>
    <t>Kazan Federal University</t>
  </si>
  <si>
    <t>Bursa</t>
  </si>
  <si>
    <t>Uludag University</t>
  </si>
  <si>
    <t>Louvain</t>
  </si>
  <si>
    <t>UCLouvain</t>
  </si>
  <si>
    <t>Gyor</t>
  </si>
  <si>
    <t>Szechenyi Istvan University</t>
  </si>
  <si>
    <t>Tomsk</t>
  </si>
  <si>
    <t>Tomsk State University</t>
  </si>
  <si>
    <t>Antalya</t>
  </si>
  <si>
    <t>Akdeniz University</t>
  </si>
  <si>
    <t>Piraeus</t>
  </si>
  <si>
    <t>University of Piraeus</t>
  </si>
  <si>
    <t>Hasselt</t>
  </si>
  <si>
    <t>Hasselt University</t>
  </si>
  <si>
    <t>Miskolc</t>
  </si>
  <si>
    <t>University of Miskolc</t>
  </si>
  <si>
    <t>Yekaterinburg</t>
  </si>
  <si>
    <t>Ural Federal University</t>
  </si>
  <si>
    <t>Kayseri</t>
  </si>
  <si>
    <t>Erciyes University</t>
  </si>
  <si>
    <t>Xanthi</t>
  </si>
  <si>
    <t>Democritus University</t>
  </si>
  <si>
    <t>Liege</t>
  </si>
  <si>
    <t>University of Liege</t>
  </si>
  <si>
    <t>Veszprem</t>
  </si>
  <si>
    <t>University of Pannonia</t>
  </si>
  <si>
    <t>Samara</t>
  </si>
  <si>
    <t>Samara State University</t>
  </si>
  <si>
    <t>Konya</t>
  </si>
  <si>
    <t>Selcuk University</t>
  </si>
  <si>
    <t>Chios</t>
  </si>
  <si>
    <t>Mons</t>
  </si>
  <si>
    <t>University of Mons</t>
  </si>
  <si>
    <t>Kecskemet</t>
  </si>
  <si>
    <t>John von Neumann University</t>
  </si>
  <si>
    <t>Rostov-on-Don</t>
  </si>
  <si>
    <t>Southern Federal University</t>
  </si>
  <si>
    <t>Cairo University</t>
  </si>
  <si>
    <t>University of Dubai</t>
  </si>
  <si>
    <t>Rio de Janeiro</t>
  </si>
  <si>
    <t>PUC-Rio</t>
  </si>
  <si>
    <t>Mumbai</t>
  </si>
  <si>
    <t>IIT Bombay</t>
  </si>
  <si>
    <t>Chiang Mai</t>
  </si>
  <si>
    <t>Chiang Mai University</t>
  </si>
  <si>
    <t>Abu Dhabi</t>
  </si>
  <si>
    <t>Khalifa University</t>
  </si>
  <si>
    <t>Campinas</t>
  </si>
  <si>
    <t>UNICAMP</t>
  </si>
  <si>
    <t>Delhi</t>
  </si>
  <si>
    <t>IIT Delhi</t>
  </si>
  <si>
    <t>Khon Kaen</t>
  </si>
  <si>
    <t>Khon Kaen University</t>
  </si>
  <si>
    <t>Alexandria</t>
  </si>
  <si>
    <t>Alexandria University</t>
  </si>
  <si>
    <t>Sharjah</t>
  </si>
  <si>
    <t>American University of Sharjah</t>
  </si>
  <si>
    <t>Porto Alegre</t>
  </si>
  <si>
    <t>UFRGS</t>
  </si>
  <si>
    <t>Chennai</t>
  </si>
  <si>
    <t>IIT Madras</t>
  </si>
  <si>
    <t>Phuket</t>
  </si>
  <si>
    <t>Prince of Songkla University</t>
  </si>
  <si>
    <t>Giza</t>
  </si>
  <si>
    <t>Ain Shams University</t>
  </si>
  <si>
    <t>Singapore University of Technology</t>
  </si>
  <si>
    <t>Ajman</t>
  </si>
  <si>
    <t>Ajman University</t>
  </si>
  <si>
    <t>Recife</t>
  </si>
  <si>
    <t>UFPE</t>
  </si>
  <si>
    <t>Hyderabad</t>
  </si>
  <si>
    <t>IIT Hyderabad</t>
  </si>
  <si>
    <t>Hat Yai</t>
  </si>
  <si>
    <t>Port Said</t>
  </si>
  <si>
    <t>Port Said University</t>
  </si>
  <si>
    <t>Al Ain</t>
  </si>
  <si>
    <t>UAE University</t>
  </si>
  <si>
    <t>Florianopolis</t>
  </si>
  <si>
    <t>UFSC</t>
  </si>
  <si>
    <t>Pune</t>
  </si>
  <si>
    <t>IIT Pune</t>
  </si>
  <si>
    <t>Nakhon Ratchasima</t>
  </si>
  <si>
    <t>Suranaree University</t>
  </si>
  <si>
    <t>Mansoura</t>
  </si>
  <si>
    <t>Mansoura University</t>
  </si>
  <si>
    <t>SIM Global Education</t>
  </si>
  <si>
    <t>Ras Al Khaimah</t>
  </si>
  <si>
    <t>RAK University</t>
  </si>
  <si>
    <t>Salvador</t>
  </si>
  <si>
    <t>UFBA</t>
  </si>
  <si>
    <t>Kanpur</t>
  </si>
  <si>
    <t>IIT Kanpur</t>
  </si>
  <si>
    <t>Songkhla</t>
  </si>
  <si>
    <t>Thaksin University</t>
  </si>
  <si>
    <t>Aswan</t>
  </si>
  <si>
    <t>Aswan University</t>
  </si>
  <si>
    <t>Fujairah</t>
  </si>
  <si>
    <t>Fujairah University</t>
  </si>
  <si>
    <t>Iceland</t>
  </si>
  <si>
    <t>Reykjavik</t>
  </si>
  <si>
    <t>University of Iceland</t>
  </si>
  <si>
    <t>Colombia</t>
  </si>
  <si>
    <t>Bogota</t>
  </si>
  <si>
    <t>Universidad Nacional</t>
  </si>
  <si>
    <t>Romania</t>
  </si>
  <si>
    <t>Bucharest</t>
  </si>
  <si>
    <t>University Politehnica</t>
  </si>
  <si>
    <t>Luxembourg</t>
  </si>
  <si>
    <t>Luxembourg City</t>
  </si>
  <si>
    <t>University of Luxembourg</t>
  </si>
  <si>
    <t>Akureyri</t>
  </si>
  <si>
    <t>University of Akureyri</t>
  </si>
  <si>
    <t>Medellin</t>
  </si>
  <si>
    <t>Universidad de Antioquia</t>
  </si>
  <si>
    <t>Krakow</t>
  </si>
  <si>
    <t>Jagiellonian University</t>
  </si>
  <si>
    <t>Cluj-Napoca</t>
  </si>
  <si>
    <t>Babes-Bolyai University</t>
  </si>
  <si>
    <t>Esch-sur-Alzette</t>
  </si>
  <si>
    <t>Luxembourg School of Business</t>
  </si>
  <si>
    <t>Bandung</t>
  </si>
  <si>
    <t>Institut Teknologi Bandung</t>
  </si>
  <si>
    <t>Reykjavik University</t>
  </si>
  <si>
    <t>Cali</t>
  </si>
  <si>
    <t>Universidad del Valle</t>
  </si>
  <si>
    <t>Wroclaw</t>
  </si>
  <si>
    <t>Wroclaw University of Technology</t>
  </si>
  <si>
    <t>Timisoara</t>
  </si>
  <si>
    <t>Politehnica University</t>
  </si>
  <si>
    <t>Belval</t>
  </si>
  <si>
    <t>Luxembourg Institute of Science</t>
  </si>
  <si>
    <t>Yogyakarta</t>
  </si>
  <si>
    <t>Gadjah Mada University</t>
  </si>
  <si>
    <t>Hafnarfjordur</t>
  </si>
  <si>
    <t>Iceland University of Arts</t>
  </si>
  <si>
    <t>Digital Design</t>
  </si>
  <si>
    <t>Barranquilla</t>
  </si>
  <si>
    <t>Universidad del Norte</t>
  </si>
  <si>
    <t>Poznan</t>
  </si>
  <si>
    <t>Adam Mickiewicz University</t>
  </si>
  <si>
    <t>Iasi</t>
  </si>
  <si>
    <t>Alexandru Ioan Cuza University</t>
  </si>
  <si>
    <t>Kirchberg</t>
  </si>
  <si>
    <t>Sacred Heart University</t>
  </si>
  <si>
    <t>Surabaya</t>
  </si>
  <si>
    <t>Institut Teknologi Sepuluh</t>
  </si>
  <si>
    <t>Kopavogur</t>
  </si>
  <si>
    <t>Bifrost University</t>
  </si>
  <si>
    <t>Digital Business</t>
  </si>
  <si>
    <t>Bucaramanga</t>
  </si>
  <si>
    <t>UIS</t>
  </si>
  <si>
    <t>Gdansk</t>
  </si>
  <si>
    <t>Gdansk University of Technology</t>
  </si>
  <si>
    <t>Brasov</t>
  </si>
  <si>
    <t>Transilvania University</t>
  </si>
  <si>
    <t>Differdange</t>
  </si>
  <si>
    <t>Miami University Dolibois</t>
  </si>
  <si>
    <t>Malang</t>
  </si>
  <si>
    <t>Brawijaya University</t>
  </si>
  <si>
    <t>Lodz</t>
  </si>
  <si>
    <t>Lodz University of Technology</t>
  </si>
  <si>
    <t>Constanta</t>
  </si>
  <si>
    <t>Ovidius University</t>
  </si>
  <si>
    <t>Walferdange</t>
  </si>
  <si>
    <t>European Business University</t>
  </si>
  <si>
    <t>Semarang</t>
  </si>
  <si>
    <t>Diponegoro University</t>
  </si>
  <si>
    <t>Borgarnes</t>
  </si>
  <si>
    <t>Agricultural University</t>
  </si>
  <si>
    <t>Data Systems</t>
  </si>
  <si>
    <t>Cartagena</t>
  </si>
  <si>
    <t>Universidad de Cartagena</t>
  </si>
  <si>
    <t>Katowice</t>
  </si>
  <si>
    <t>University of Silesia</t>
  </si>
  <si>
    <t>Craiova</t>
  </si>
  <si>
    <t>University of Craiova</t>
  </si>
  <si>
    <t>Bertrange</t>
  </si>
  <si>
    <t>Chamber of Commerce School</t>
  </si>
  <si>
    <t>Denpasar</t>
  </si>
  <si>
    <t>Udayana University</t>
  </si>
  <si>
    <t>Tunisia</t>
  </si>
  <si>
    <t>Tunis</t>
  </si>
  <si>
    <t>University of Tunis</t>
  </si>
  <si>
    <t>Cyprus</t>
  </si>
  <si>
    <t>Nicosia</t>
  </si>
  <si>
    <t>University of Cyprus</t>
  </si>
  <si>
    <t>Croatia</t>
  </si>
  <si>
    <t>Zagreb</t>
  </si>
  <si>
    <t>University of Zagreb</t>
  </si>
  <si>
    <t>Dominican Republic</t>
  </si>
  <si>
    <t>Santo Domingo</t>
  </si>
  <si>
    <t>INTEC</t>
  </si>
  <si>
    <t>Morocco</t>
  </si>
  <si>
    <t>Rabat</t>
  </si>
  <si>
    <t>Mohammed V University</t>
  </si>
  <si>
    <t>Peru</t>
  </si>
  <si>
    <t>Lima</t>
  </si>
  <si>
    <t>PUCP</t>
  </si>
  <si>
    <t>Sfax</t>
  </si>
  <si>
    <t>University of Sfax</t>
  </si>
  <si>
    <t>Limassol</t>
  </si>
  <si>
    <t>Cyprus University of Technology</t>
  </si>
  <si>
    <t>Split</t>
  </si>
  <si>
    <t>University of Split</t>
  </si>
  <si>
    <t>Santiago</t>
  </si>
  <si>
    <t>PUCMM</t>
  </si>
  <si>
    <t>Casablanca</t>
  </si>
  <si>
    <t>Hassan II University</t>
  </si>
  <si>
    <t>Arequipa</t>
  </si>
  <si>
    <t>Universidad San Agustin</t>
  </si>
  <si>
    <t>Cordoba</t>
  </si>
  <si>
    <t>National University of Cordoba</t>
  </si>
  <si>
    <t>Sousse</t>
  </si>
  <si>
    <t>University of Sousse</t>
  </si>
  <si>
    <t>Larnaca</t>
  </si>
  <si>
    <t>American University Cyprus</t>
  </si>
  <si>
    <t>Rijeka</t>
  </si>
  <si>
    <t>University of Rijeka</t>
  </si>
  <si>
    <t>La Romana</t>
  </si>
  <si>
    <t>Universidad Central Este</t>
  </si>
  <si>
    <t>Fez</t>
  </si>
  <si>
    <t>University of Al Quaraouiyine</t>
  </si>
  <si>
    <t>Trujillo</t>
  </si>
  <si>
    <t>Universidad Nacional de Trujillo</t>
  </si>
  <si>
    <t>Rosario</t>
  </si>
  <si>
    <t>National University of Rosario</t>
  </si>
  <si>
    <t>Monastir</t>
  </si>
  <si>
    <t>University of Monastir</t>
  </si>
  <si>
    <t>Famagusta</t>
  </si>
  <si>
    <t>Eastern Mediterranean University</t>
  </si>
  <si>
    <t>Osijek</t>
  </si>
  <si>
    <t>University of Osijek</t>
  </si>
  <si>
    <t>San Pedro</t>
  </si>
  <si>
    <t>UCNE</t>
  </si>
  <si>
    <t>Marrakech</t>
  </si>
  <si>
    <t>Cadi Ayyad University</t>
  </si>
  <si>
    <t>Cusco</t>
  </si>
  <si>
    <t>Universidad San Antonio Abad</t>
  </si>
  <si>
    <t>La Plata</t>
  </si>
  <si>
    <t>National University of La Plata</t>
  </si>
  <si>
    <t>Gabes</t>
  </si>
  <si>
    <t>University of Gabes</t>
  </si>
  <si>
    <t>Zadar</t>
  </si>
  <si>
    <t>University of Zadar</t>
  </si>
  <si>
    <t>Paphos</t>
  </si>
  <si>
    <t>Neapolis University</t>
  </si>
  <si>
    <t>Puerto Plata</t>
  </si>
  <si>
    <t>UTESA</t>
  </si>
  <si>
    <t>Tangier</t>
  </si>
  <si>
    <t>Abdelmalek Essaadi University</t>
  </si>
  <si>
    <t>Piura</t>
  </si>
  <si>
    <t>Universidad de Piura</t>
  </si>
  <si>
    <t>Mendoza</t>
  </si>
  <si>
    <t>National University of Cuyo</t>
  </si>
  <si>
    <t>Bizerte</t>
  </si>
  <si>
    <t>University of Carthage</t>
  </si>
  <si>
    <t>Girne</t>
  </si>
  <si>
    <t>Girne American University</t>
  </si>
  <si>
    <t>Dubrovnik</t>
  </si>
  <si>
    <t>University of Dubrovnik</t>
  </si>
  <si>
    <t>Oujda</t>
  </si>
  <si>
    <t>Mohammed I University</t>
  </si>
  <si>
    <t>Chiclayo</t>
  </si>
  <si>
    <t>Universidad San Martin</t>
  </si>
  <si>
    <t>Ecuador</t>
  </si>
  <si>
    <t>Quito</t>
  </si>
  <si>
    <t>Universidad San Francisco</t>
  </si>
  <si>
    <t>Lebanon</t>
  </si>
  <si>
    <t>Beirut</t>
  </si>
  <si>
    <t>American University of Beirut</t>
  </si>
  <si>
    <t>Bahrain</t>
  </si>
  <si>
    <t>Manama</t>
  </si>
  <si>
    <t>University of Bahrain</t>
  </si>
  <si>
    <t>Uruguay</t>
  </si>
  <si>
    <t>Montevideo</t>
  </si>
  <si>
    <t>Universidad de la Republica</t>
  </si>
  <si>
    <t>Bulgaria</t>
  </si>
  <si>
    <t>Sofia</t>
  </si>
  <si>
    <t>Sofia University</t>
  </si>
  <si>
    <t>Ghana</t>
  </si>
  <si>
    <t>Accra</t>
  </si>
  <si>
    <t>University of Ghana</t>
  </si>
  <si>
    <t>Algeria</t>
  </si>
  <si>
    <t>Algiers</t>
  </si>
  <si>
    <t>University of Science and Technology</t>
  </si>
  <si>
    <t>Panama</t>
  </si>
  <si>
    <t>Panama City</t>
  </si>
  <si>
    <t>Universidad Tecnologica</t>
  </si>
  <si>
    <t>Guayaquil</t>
  </si>
  <si>
    <t>ESPOL</t>
  </si>
  <si>
    <t>Byblos</t>
  </si>
  <si>
    <t>Lebanese American University</t>
  </si>
  <si>
    <t>Riffa</t>
  </si>
  <si>
    <t>Royal University for Women</t>
  </si>
  <si>
    <t>Salto</t>
  </si>
  <si>
    <t>Universidad ORT Uruguay</t>
  </si>
  <si>
    <t>Plovdiv</t>
  </si>
  <si>
    <t>Plovdiv University</t>
  </si>
  <si>
    <t>Kumasi</t>
  </si>
  <si>
    <t>Kwame Nkrumah University</t>
  </si>
  <si>
    <t>Oran</t>
  </si>
  <si>
    <t>University of Oran</t>
  </si>
  <si>
    <t>David</t>
  </si>
  <si>
    <t>ISAE University</t>
  </si>
  <si>
    <t>Cuenca</t>
  </si>
  <si>
    <t>Universidad de Cuenca</t>
  </si>
  <si>
    <t>Tripoli</t>
  </si>
  <si>
    <t>Lebanese University</t>
  </si>
  <si>
    <t>Isa Town</t>
  </si>
  <si>
    <t>Bahrain Polytechnic</t>
  </si>
  <si>
    <t>Maldonado</t>
  </si>
  <si>
    <t>Universidad Catolica</t>
  </si>
  <si>
    <t>Varna</t>
  </si>
  <si>
    <t>Technical University Varna</t>
  </si>
  <si>
    <t>Cape Coast</t>
  </si>
  <si>
    <t>University of Cape Coast</t>
  </si>
  <si>
    <t>Constantine</t>
  </si>
  <si>
    <t>University of Constantine</t>
  </si>
  <si>
    <t>Universidad Latina</t>
  </si>
  <si>
    <t>Loja</t>
  </si>
  <si>
    <t>UTPL</t>
  </si>
  <si>
    <t>Jounieh</t>
  </si>
  <si>
    <t>Holy Spirit University</t>
  </si>
  <si>
    <t>Sakhir</t>
  </si>
  <si>
    <t>Arabian Gulf University</t>
  </si>
  <si>
    <t>Rivera</t>
  </si>
  <si>
    <t>UTEC</t>
  </si>
  <si>
    <t>Burgas</t>
  </si>
  <si>
    <t>Burgas Free University</t>
  </si>
  <si>
    <t>Tamale</t>
  </si>
  <si>
    <t>University for Development</t>
  </si>
  <si>
    <t>Annaba</t>
  </si>
  <si>
    <t>Badji Mokhtar University</t>
  </si>
  <si>
    <t>ChitrÃ©</t>
  </si>
  <si>
    <t>Quality Leadership University</t>
  </si>
  <si>
    <t>Ambato</t>
  </si>
  <si>
    <t>Universidad Tecnica</t>
  </si>
  <si>
    <t>Sidon</t>
  </si>
  <si>
    <t>Lebanese International</t>
  </si>
  <si>
    <t>Muharraq</t>
  </si>
  <si>
    <t>Applied Science University</t>
  </si>
  <si>
    <t>Paysandu</t>
  </si>
  <si>
    <t>Universidad de Paysandu</t>
  </si>
  <si>
    <t>Ruse</t>
  </si>
  <si>
    <t>University of Ruse</t>
  </si>
  <si>
    <t>Ho</t>
  </si>
  <si>
    <t>University of Health Sciences</t>
  </si>
  <si>
    <t>Tlemcen</t>
  </si>
  <si>
    <t>University of Tlemcen</t>
  </si>
  <si>
    <t>La Chorrera</t>
  </si>
  <si>
    <t>Universidad Metropolitana</t>
  </si>
  <si>
    <t>Bangladesh</t>
  </si>
  <si>
    <t>Dhaka</t>
  </si>
  <si>
    <t>Bangladesh University of Engineering</t>
  </si>
  <si>
    <t>Kuwait</t>
  </si>
  <si>
    <t>Kuwait City</t>
  </si>
  <si>
    <t>Kuwait University</t>
  </si>
  <si>
    <t>Ukraine</t>
  </si>
  <si>
    <t>Kyiv</t>
  </si>
  <si>
    <t>Igor Sikorsky Kyiv Polytechnic</t>
  </si>
  <si>
    <t>Slovenia</t>
  </si>
  <si>
    <t>Ljubljana</t>
  </si>
  <si>
    <t>University of Ljubljana</t>
  </si>
  <si>
    <t>Serbia</t>
  </si>
  <si>
    <t>Belgrade</t>
  </si>
  <si>
    <t>University of Belgrade</t>
  </si>
  <si>
    <t>Iran</t>
  </si>
  <si>
    <t>Tehran</t>
  </si>
  <si>
    <t>Sharif University of Technology</t>
  </si>
  <si>
    <t>Uzbekistan</t>
  </si>
  <si>
    <t>Tashkent</t>
  </si>
  <si>
    <t>INHA University Tashkent</t>
  </si>
  <si>
    <t>El Salvador</t>
  </si>
  <si>
    <t>San Salvador</t>
  </si>
  <si>
    <t>Universidad Don Bosco</t>
  </si>
  <si>
    <t>Chittagong</t>
  </si>
  <si>
    <t>CUET</t>
  </si>
  <si>
    <t>Hawalli</t>
  </si>
  <si>
    <t>American University Kuwait</t>
  </si>
  <si>
    <t>Lviv</t>
  </si>
  <si>
    <t>Lviv Polytechnic</t>
  </si>
  <si>
    <t>Maribor</t>
  </si>
  <si>
    <t>University of Maribor</t>
  </si>
  <si>
    <t>Novi Sad</t>
  </si>
  <si>
    <t>University of Novi Sad</t>
  </si>
  <si>
    <t>Isfahan</t>
  </si>
  <si>
    <t>Isfahan University of Technology</t>
  </si>
  <si>
    <t>Samarkand</t>
  </si>
  <si>
    <t>Samarkand State University</t>
  </si>
  <si>
    <t>Santa Ana</t>
  </si>
  <si>
    <t>Khulna</t>
  </si>
  <si>
    <t>Khulna University</t>
  </si>
  <si>
    <t>Al Jahra</t>
  </si>
  <si>
    <t>Gulf University for Science</t>
  </si>
  <si>
    <t>Kharkiv</t>
  </si>
  <si>
    <t>Kharkiv Polytechnic</t>
  </si>
  <si>
    <t>Koper</t>
  </si>
  <si>
    <t>University of Primorska</t>
  </si>
  <si>
    <t>Nis</t>
  </si>
  <si>
    <t>University of Nis</t>
  </si>
  <si>
    <t>Mashhad</t>
  </si>
  <si>
    <t>Ferdowsi University</t>
  </si>
  <si>
    <t>Bukhara</t>
  </si>
  <si>
    <t>Bukhara State University</t>
  </si>
  <si>
    <t>San Miguel</t>
  </si>
  <si>
    <t>Universidad de Oriente</t>
  </si>
  <si>
    <t>Rajshahi</t>
  </si>
  <si>
    <t>RUET</t>
  </si>
  <si>
    <t>Salmiya</t>
  </si>
  <si>
    <t>Australian College Kuwait</t>
  </si>
  <si>
    <t>Odesa</t>
  </si>
  <si>
    <t>Odesa Polytechnic</t>
  </si>
  <si>
    <t>Nova Gorica</t>
  </si>
  <si>
    <t>University of Nova Gorica</t>
  </si>
  <si>
    <t>Kragujevac</t>
  </si>
  <si>
    <t>University of Kragujevac</t>
  </si>
  <si>
    <t>Shiraz</t>
  </si>
  <si>
    <t>Shiraz University</t>
  </si>
  <si>
    <t>Namangan</t>
  </si>
  <si>
    <t>Namangan Institute</t>
  </si>
  <si>
    <t>Sonsonate</t>
  </si>
  <si>
    <t>Universidad de Sonsonate</t>
  </si>
  <si>
    <t>Sylhet</t>
  </si>
  <si>
    <t>SUST</t>
  </si>
  <si>
    <t>Al Ahmadi</t>
  </si>
  <si>
    <t>ACK</t>
  </si>
  <si>
    <t>Dnipro</t>
  </si>
  <si>
    <t>Dnipro Polytechnic</t>
  </si>
  <si>
    <t>Celje</t>
  </si>
  <si>
    <t>Faculty of Logistics</t>
  </si>
  <si>
    <t>Subotica</t>
  </si>
  <si>
    <t>University of Subotica</t>
  </si>
  <si>
    <t>Tabriz</t>
  </si>
  <si>
    <t>University of Tabriz</t>
  </si>
  <si>
    <t>Andijan</t>
  </si>
  <si>
    <t>Andijan State University</t>
  </si>
  <si>
    <t>Santa Tecla</t>
  </si>
  <si>
    <t>ITCA-FEPADE</t>
  </si>
  <si>
    <t>Imperial College</t>
  </si>
  <si>
    <t>Universidad Politecnica</t>
  </si>
  <si>
    <t>Penang</t>
  </si>
  <si>
    <t>USM</t>
  </si>
  <si>
    <t>Jeddah</t>
  </si>
  <si>
    <t>King Abdulaziz University</t>
  </si>
  <si>
    <t>Universitat de Barcelona</t>
  </si>
  <si>
    <t>Ã‰cole Normale SupÃ©rieure</t>
  </si>
  <si>
    <t>Johor Bahru</t>
  </si>
  <si>
    <t>UTM</t>
  </si>
  <si>
    <t>Dhahran</t>
  </si>
  <si>
    <t>KFUPM</t>
  </si>
  <si>
    <t>Universidad de Valencia</t>
  </si>
  <si>
    <t>Kuching</t>
  </si>
  <si>
    <t>UNIMAS</t>
  </si>
  <si>
    <t>Medina</t>
  </si>
  <si>
    <t>Islamic University</t>
  </si>
  <si>
    <t>Massachusetts</t>
  </si>
  <si>
    <t>Marseille</t>
  </si>
  <si>
    <t>Aix-Marseille University</t>
  </si>
  <si>
    <t>Cyberjaya</t>
  </si>
  <si>
    <t>Multimedia University</t>
  </si>
  <si>
    <t>Dammam</t>
  </si>
  <si>
    <t>Imam Abdulrahman University</t>
  </si>
  <si>
    <t>Universidad de Granada</t>
  </si>
  <si>
    <t>Bangi</t>
  </si>
  <si>
    <t>UKM</t>
  </si>
  <si>
    <t>Taif</t>
  </si>
  <si>
    <t>Taif University</t>
  </si>
  <si>
    <t>Melaka</t>
  </si>
  <si>
    <t>UTeM</t>
  </si>
  <si>
    <t>Tabuk</t>
  </si>
  <si>
    <t>University of Tabuk</t>
  </si>
  <si>
    <t>Shah Alam</t>
  </si>
  <si>
    <t>UiTM</t>
  </si>
  <si>
    <t>Makkah</t>
  </si>
  <si>
    <t>Umm Al-Qura University</t>
  </si>
  <si>
    <t>Nilai</t>
  </si>
  <si>
    <t>USIM</t>
  </si>
  <si>
    <t>Al-Ahsa</t>
  </si>
  <si>
    <t>King Faisal University</t>
  </si>
  <si>
    <t>Row Labels</t>
  </si>
  <si>
    <t>Grand Total</t>
  </si>
  <si>
    <t>Sum of Tuition_USD</t>
  </si>
  <si>
    <t>Total_Study_Cost</t>
  </si>
  <si>
    <t>Total_Cost(Local currency)</t>
  </si>
  <si>
    <t>Sum of Total_Study_Cost</t>
  </si>
  <si>
    <t>Sum of Rent_USD</t>
  </si>
  <si>
    <t>Average of Total_Study_Cost</t>
  </si>
  <si>
    <t>Average of Tuition_USD</t>
  </si>
  <si>
    <t>Average of Living_Cost_Index</t>
  </si>
  <si>
    <t>Average of Visa_Fee_USD</t>
  </si>
  <si>
    <t>Average of Rent_USD</t>
  </si>
  <si>
    <t>Average of Insurance_USD</t>
  </si>
  <si>
    <t>Count of University</t>
  </si>
  <si>
    <t>Average True Total Cost (USD)</t>
  </si>
  <si>
    <t>Programmes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</si>
</sst>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quot;$&quot;#,##0.00"/>
    <numFmt numFmtId="165" formatCode="_(&quot;$&quot;* #,##0_);_(&quot;$&quot;* \(#,##0\);_(&quot;$&quot;* &quot;-&quot;??_);_(@_)"/>
    <numFmt numFmtId="166" formatCode="&quot;$&quot;#,##0"/>
    <numFmt numFmtId="167" formatCode="&quot;$&quot;#,##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FFFF"/>
      <name val="Calibri"/>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2"/>
        <bgColor indexed="64"/>
      </patternFill>
    </fill>
    <fill>
      <patternFill patternType="solid">
        <fgColor rgb="FF1B496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4">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7">
    <xf numFmtId="0" fontId="0" fillId="0" borderId="0" xfId="0"/>
    <xf numFmtId="0" fontId="0" fillId="35" borderId="0" xfId="0" applyFill="1"/>
    <xf numFmtId="0" fontId="0" fillId="0" borderId="0" xfId="0" pivotButton="1"/>
    <xf numFmtId="0" fontId="0" fillId="0" borderId="0" xfId="0" applyAlignment="1">
      <alignment horizontal="left"/>
    </xf>
    <xf numFmtId="0" fontId="0" fillId="34" borderId="10" xfId="0" applyFill="1" applyBorder="1"/>
    <xf numFmtId="44" fontId="0" fillId="34" borderId="10" xfId="1" applyFont="1" applyFill="1" applyBorder="1"/>
    <xf numFmtId="0" fontId="0" fillId="0" borderId="10" xfId="0" applyBorder="1"/>
    <xf numFmtId="44" fontId="0" fillId="0" borderId="10" xfId="1" applyFont="1" applyBorder="1"/>
    <xf numFmtId="0" fontId="13" fillId="33" borderId="0" xfId="0" applyFont="1" applyFill="1"/>
    <xf numFmtId="44" fontId="0" fillId="0" borderId="0" xfId="0" applyNumberFormat="1"/>
    <xf numFmtId="0" fontId="0" fillId="0" borderId="0" xfId="0" applyAlignment="1">
      <alignment horizontal="left" indent="1"/>
    </xf>
    <xf numFmtId="0" fontId="0" fillId="36" borderId="0" xfId="0" applyFill="1"/>
    <xf numFmtId="43" fontId="0" fillId="35" borderId="0" xfId="43" applyFont="1" applyFill="1"/>
    <xf numFmtId="2" fontId="0" fillId="0" borderId="0" xfId="0" applyNumberFormat="1"/>
    <xf numFmtId="2" fontId="0" fillId="35" borderId="0" xfId="0" applyNumberFormat="1" applyFill="1"/>
    <xf numFmtId="164" fontId="0" fillId="0" borderId="0" xfId="0" applyNumberFormat="1"/>
    <xf numFmtId="165" fontId="0" fillId="34" borderId="10" xfId="1" applyNumberFormat="1" applyFont="1" applyFill="1" applyBorder="1"/>
    <xf numFmtId="165" fontId="0" fillId="0" borderId="10" xfId="1" applyNumberFormat="1" applyFont="1" applyBorder="1"/>
    <xf numFmtId="164" fontId="0" fillId="0" borderId="0" xfId="0" pivotButton="1" applyNumberFormat="1"/>
    <xf numFmtId="166" fontId="0" fillId="0" borderId="0" xfId="0" applyNumberFormat="1"/>
    <xf numFmtId="167" fontId="0" fillId="0" borderId="0" xfId="0" applyNumberFormat="1"/>
    <xf numFmtId="1" fontId="0" fillId="0" borderId="0" xfId="0" applyNumberFormat="1"/>
    <xf numFmtId="0" fontId="18" fillId="37" borderId="0" xfId="0" applyFont="1" applyFill="1" applyAlignment="1">
      <alignment horizontal="center" vertical="center"/>
    </xf>
    <xf numFmtId="43" fontId="13" fillId="33" borderId="0" xfId="1" applyNumberFormat="1" applyFont="1" applyFill="1"/>
    <xf numFmtId="43" fontId="0" fillId="34" borderId="10" xfId="1" applyNumberFormat="1" applyFont="1" applyFill="1" applyBorder="1"/>
    <xf numFmtId="43" fontId="0" fillId="0" borderId="10" xfId="1" applyNumberFormat="1" applyFont="1" applyBorder="1"/>
    <xf numFmtId="43" fontId="0" fillId="0" borderId="0" xfId="1" applyNumberFormat="1" applyFon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3" builtinId="3"/>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52">
    <dxf>
      <numFmt numFmtId="34" formatCode="_(&quot;$&quot;* #,##0.00_);_(&quot;$&quot;* \(#,##0.00\);_(&quot;$&quot;* &quot;-&quot;??_);_(@_)"/>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1" formatCode="&quot;$&quot;#,##0.00_);\(&quot;$&quot;#,##0.00\)"/>
    </dxf>
    <dxf>
      <numFmt numFmtId="2" formatCode="0.00"/>
    </dxf>
    <dxf>
      <numFmt numFmtId="164" formatCode="&quot;$&quot;#,##0.00"/>
    </dxf>
    <dxf>
      <numFmt numFmtId="34" formatCode="_(&quot;$&quot;* #,##0.00_);_(&quot;$&quot;* \(#,##0.00\);_(&quot;$&quot;* &quot;-&quot;??_);_(@_)"/>
    </dxf>
    <dxf>
      <numFmt numFmtId="164" formatCode="&quot;$&quot;#,##0.00"/>
    </dxf>
    <dxf>
      <numFmt numFmtId="34" formatCode="_(&quot;$&quot;* #,##0.00_);_(&quot;$&quot;* \(#,##0.00\);_(&quot;$&quot;* &quot;-&quot;??_);_(@_)"/>
    </dxf>
    <dxf>
      <numFmt numFmtId="164" formatCode="&quot;$&quot;#,##0.00"/>
    </dxf>
    <dxf>
      <numFmt numFmtId="34" formatCode="_(&quot;$&quot;* #,##0.00_);_(&quot;$&quot;* \(#,##0.00\);_(&quot;$&quot;* &quot;-&quot;??_);_(@_)"/>
    </dxf>
    <dxf>
      <numFmt numFmtId="34" formatCode="_(&quot;$&quot;* #,##0.00_);_(&quot;$&quot;* \(#,##0.00\);_(&quot;$&quot;* &quot;-&quot;??_);_(@_)"/>
    </dxf>
    <dxf>
      <numFmt numFmtId="164" formatCode="&quot;$&quot;#,##0.00"/>
    </dxf>
    <dxf>
      <numFmt numFmtId="34" formatCode="_(&quot;$&quot;* #,##0.00_);_(&quot;$&quot;* \(#,##0.00\);_(&quot;$&quot;* &quot;-&quot;??_);_(@_)"/>
    </dxf>
    <dxf>
      <numFmt numFmtId="34" formatCode="_(&quot;$&quot;* #,##0.00_);_(&quot;$&quot;* \(#,##0.00\);_(&quot;$&quot;* &quot;-&quot;??_);_(@_)"/>
    </dxf>
    <dxf>
      <numFmt numFmtId="164" formatCode="&quot;$&quot;#,##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quot;$&quot;#,##0.0"/>
    </dxf>
    <dxf>
      <numFmt numFmtId="164" formatCode="&quot;$&quot;#,##0.00"/>
    </dxf>
    <dxf>
      <numFmt numFmtId="166" formatCode="&quot;$&quot;#,##0"/>
    </dxf>
    <dxf>
      <numFmt numFmtId="164" formatCode="&quot;$&quot;#,##0.00"/>
    </dxf>
    <dxf>
      <numFmt numFmtId="164" formatCode="&quot;$&quot;#,##0.00"/>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34" formatCode="_(&quot;$&quot;* #,##0.00_);_(&quot;$&quot;* \(#,##0.00\);_(&quot;$&quot;* &quot;-&quot;??_);_(@_)"/>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34" formatCode="_(&quot;$&quot;* #,##0.00_);_(&quot;$&quot;* \(#,##0.00\);_(&quot;$&quot;* &quot;-&quot;??_);_(@_)"/>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34" formatCode="_(&quot;$&quot;* #,##0.00_);_(&quot;$&quot;* \(#,##0.00\);_(&quot;$&quot;* &quot;-&quot;??_);_(@_)"/>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34" formatCode="_(&quot;$&quot;* #,##0.00_);_(&quot;$&quot;* \(#,##0.00\);_(&quot;$&quot;* &quot;-&quot;??_);_(@_)"/>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34" formatCode="_(&quot;$&quot;* #,##0.00_);_(&quot;$&quot;* \(#,##0.00\);_(&quot;$&quot;* &quot;-&quot;??_);_(@_)"/>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65" formatCode="_(&quot;$&quot;* #,##0_);_(&quot;$&quot;* \(#,##0\);_(&quot;$&quot;* &quot;-&quot;??_);_(@_)"/>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solid">
          <fgColor theme="4" tint="0.79998168889431442"/>
          <bgColor theme="4" tint="0.79998168889431442"/>
        </patternFill>
      </fill>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34" formatCode="_(&quot;$&quot;* #,##0.00_);_(&quot;$&quot;* \(#,##0.00\);_(&quot;$&quot;* &quot;-&quot;??_);_(@_)"/>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17/06/relationships/rdRichValue" Target="richData/rdrichvalue.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[International_Education_Costs_F .xlsx]Pivot_Table!PivotTable3</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a:t>Level by Tuition &amp; Program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Pivot_Table!$A$4:$A$7</c:f>
              <c:strCache>
                <c:ptCount val="3"/>
                <c:pt idx="0">
                  <c:v>Master</c:v>
                </c:pt>
                <c:pt idx="1">
                  <c:v>Bachelor</c:v>
                </c:pt>
                <c:pt idx="2">
                  <c:v>PhD</c:v>
                </c:pt>
              </c:strCache>
            </c:strRef>
          </c:cat>
          <c:val>
            <c:numRef>
              <c:f>Pivot_Table!$B$4:$B$7</c:f>
              <c:numCache>
                <c:formatCode>"$"#,##0.00</c:formatCode>
                <c:ptCount val="3"/>
                <c:pt idx="0">
                  <c:v>6549420</c:v>
                </c:pt>
                <c:pt idx="1">
                  <c:v>5878430</c:v>
                </c:pt>
                <c:pt idx="2">
                  <c:v>2723600</c:v>
                </c:pt>
              </c:numCache>
            </c:numRef>
          </c:val>
          <c:extLst>
            <c:ext xmlns:c16="http://schemas.microsoft.com/office/drawing/2014/chart" uri="{C3380CC4-5D6E-409C-BE32-E72D297353CC}">
              <c16:uniqueId val="{00000000-E500-4BF9-A26D-B3FC41B46B89}"/>
            </c:ext>
          </c:extLst>
        </c:ser>
        <c:dLbls>
          <c:showLegendKey val="0"/>
          <c:showVal val="0"/>
          <c:showCatName val="0"/>
          <c:showSerName val="0"/>
          <c:showPercent val="0"/>
          <c:showBubbleSize val="0"/>
        </c:dLbls>
        <c:gapWidth val="219"/>
        <c:overlap val="-27"/>
        <c:axId val="929360223"/>
        <c:axId val="929360703"/>
      </c:barChart>
      <c:catAx>
        <c:axId val="92936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29360703"/>
        <c:crosses val="autoZero"/>
        <c:auto val="1"/>
        <c:lblAlgn val="ctr"/>
        <c:lblOffset val="100"/>
        <c:noMultiLvlLbl val="0"/>
      </c:catAx>
      <c:valAx>
        <c:axId val="929360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2936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[International_Education_Costs_F .xlsx]Pivot_Table!PivotTable1</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Program by Study cost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Pivot_Table!$B$18</c:f>
              <c:strCache>
                <c:ptCount val="1"/>
                <c:pt idx="0">
                  <c:v>Total</c:v>
                </c:pt>
              </c:strCache>
            </c:strRef>
          </c:tx>
          <c:spPr>
            <a:solidFill>
              <a:schemeClr val="accent1"/>
            </a:solidFill>
            <a:ln>
              <a:noFill/>
            </a:ln>
            <a:effectLst/>
          </c:spPr>
          <c:invertIfNegative val="0"/>
          <c:cat>
            <c:strRef>
              <c:f>Pivot_Table!$A$19:$A$22</c:f>
              <c:strCache>
                <c:ptCount val="3"/>
                <c:pt idx="0">
                  <c:v>Master</c:v>
                </c:pt>
                <c:pt idx="1">
                  <c:v>Bachelor</c:v>
                </c:pt>
                <c:pt idx="2">
                  <c:v>PhD</c:v>
                </c:pt>
              </c:strCache>
            </c:strRef>
          </c:cat>
          <c:val>
            <c:numRef>
              <c:f>Pivot_Table!$B$19:$B$22</c:f>
              <c:numCache>
                <c:formatCode>_("$"* #,##0.00_);_("$"* \(#,##0.00\);_("$"* "-"??_);_(@_)</c:formatCode>
                <c:ptCount val="3"/>
                <c:pt idx="0">
                  <c:v>7368068</c:v>
                </c:pt>
                <c:pt idx="1">
                  <c:v>6466177</c:v>
                </c:pt>
                <c:pt idx="2">
                  <c:v>3022982</c:v>
                </c:pt>
              </c:numCache>
            </c:numRef>
          </c:val>
          <c:extLst>
            <c:ext xmlns:c16="http://schemas.microsoft.com/office/drawing/2014/chart" uri="{C3380CC4-5D6E-409C-BE32-E72D297353CC}">
              <c16:uniqueId val="{00000000-C8A5-48FA-8E13-67472B1D5B99}"/>
            </c:ext>
          </c:extLst>
        </c:ser>
        <c:dLbls>
          <c:showLegendKey val="0"/>
          <c:showVal val="0"/>
          <c:showCatName val="0"/>
          <c:showSerName val="0"/>
          <c:showPercent val="0"/>
          <c:showBubbleSize val="0"/>
        </c:dLbls>
        <c:gapWidth val="219"/>
        <c:overlap val="-27"/>
        <c:axId val="164463200"/>
        <c:axId val="161349104"/>
      </c:barChart>
      <c:catAx>
        <c:axId val="16446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1349104"/>
        <c:crosses val="autoZero"/>
        <c:auto val="1"/>
        <c:lblAlgn val="ctr"/>
        <c:lblOffset val="100"/>
        <c:noMultiLvlLbl val="0"/>
      </c:catAx>
      <c:valAx>
        <c:axId val="16134910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446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[International_Education_Costs_F .xlsx]Pivot_Table!PivotTable9</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Countries by Tuition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Pivot_Table!$AK$2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Pivot_Table!$AJ$3:$AJ$8</c:f>
              <c:strCache>
                <c:ptCount val="5"/>
                <c:pt idx="0">
                  <c:v>USA</c:v>
                </c:pt>
                <c:pt idx="1">
                  <c:v>Australia</c:v>
                </c:pt>
                <c:pt idx="2">
                  <c:v>UK</c:v>
                </c:pt>
                <c:pt idx="3">
                  <c:v>Canada</c:v>
                </c:pt>
                <c:pt idx="4">
                  <c:v>Switzerland</c:v>
                </c:pt>
              </c:strCache>
            </c:strRef>
          </c:cat>
          <c:val>
            <c:numRef>
              <c:f>Pivot_Table!$AK$3:$AK$8</c:f>
              <c:numCache>
                <c:formatCode>"$"#,##0.0</c:formatCode>
                <c:ptCount val="5"/>
                <c:pt idx="0">
                  <c:v>145000</c:v>
                </c:pt>
                <c:pt idx="1">
                  <c:v>117100</c:v>
                </c:pt>
                <c:pt idx="2">
                  <c:v>113100</c:v>
                </c:pt>
                <c:pt idx="3">
                  <c:v>88750</c:v>
                </c:pt>
                <c:pt idx="4">
                  <c:v>33800</c:v>
                </c:pt>
              </c:numCache>
            </c:numRef>
          </c:val>
          <c:extLst>
            <c:ext xmlns:c16="http://schemas.microsoft.com/office/drawing/2014/chart" uri="{C3380CC4-5D6E-409C-BE32-E72D297353CC}">
              <c16:uniqueId val="{00000000-552A-471C-86B9-DE26BECEB0E5}"/>
            </c:ext>
          </c:extLst>
        </c:ser>
        <c:dLbls>
          <c:dLblPos val="outEnd"/>
          <c:showLegendKey val="0"/>
          <c:showVal val="1"/>
          <c:showCatName val="0"/>
          <c:showSerName val="0"/>
          <c:showPercent val="0"/>
          <c:showBubbleSize val="0"/>
        </c:dLbls>
        <c:gapWidth val="219"/>
        <c:overlap val="-27"/>
        <c:axId val="375642096"/>
        <c:axId val="2122676976"/>
      </c:barChart>
      <c:catAx>
        <c:axId val="37564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676976"/>
        <c:crosses val="autoZero"/>
        <c:auto val="1"/>
        <c:lblAlgn val="ctr"/>
        <c:lblOffset val="100"/>
        <c:noMultiLvlLbl val="0"/>
      </c:catAx>
      <c:valAx>
        <c:axId val="2122676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4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[International_Education_Costs_F .xlsx]Pivot_Table!PivotTable8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Schools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Pivot_Table!$AC$1</c:f>
              <c:strCache>
                <c:ptCount val="1"/>
                <c:pt idx="0">
                  <c:v>Total</c:v>
                </c:pt>
              </c:strCache>
            </c:strRef>
          </c:tx>
          <c:spPr>
            <a:solidFill>
              <a:schemeClr val="accent1"/>
            </a:solidFill>
            <a:ln>
              <a:noFill/>
            </a:ln>
            <a:effectLst/>
          </c:spPr>
          <c:cat>
            <c:multiLvlStrRef>
              <c:f>Pivot_Table!$AB$2:$AB$12</c:f>
              <c:multiLvlStrCache>
                <c:ptCount val="5"/>
                <c:lvl>
                  <c:pt idx="0">
                    <c:v>USA</c:v>
                  </c:pt>
                  <c:pt idx="1">
                    <c:v>USA</c:v>
                  </c:pt>
                  <c:pt idx="2">
                    <c:v>USA</c:v>
                  </c:pt>
                  <c:pt idx="3">
                    <c:v>Australia</c:v>
                  </c:pt>
                  <c:pt idx="4">
                    <c:v>Australia</c:v>
                  </c:pt>
                </c:lvl>
                <c:lvl>
                  <c:pt idx="0">
                    <c:v>University of Washington</c:v>
                  </c:pt>
                  <c:pt idx="1">
                    <c:v>Stanford University</c:v>
                  </c:pt>
                  <c:pt idx="2">
                    <c:v>UC Berkeley</c:v>
                  </c:pt>
                  <c:pt idx="3">
                    <c:v>University of Melbourne</c:v>
                  </c:pt>
                  <c:pt idx="4">
                    <c:v>University of Sydney</c:v>
                  </c:pt>
                </c:lvl>
              </c:multiLvlStrCache>
            </c:multiLvlStrRef>
          </c:cat>
          <c:val>
            <c:numRef>
              <c:f>Pivot_Table!$AC$2:$AC$12</c:f>
              <c:numCache>
                <c:formatCode>"$"#,##0</c:formatCode>
                <c:ptCount val="5"/>
                <c:pt idx="0">
                  <c:v>280700</c:v>
                </c:pt>
                <c:pt idx="1">
                  <c:v>270200</c:v>
                </c:pt>
                <c:pt idx="2">
                  <c:v>196400</c:v>
                </c:pt>
                <c:pt idx="3">
                  <c:v>194300</c:v>
                </c:pt>
                <c:pt idx="4">
                  <c:v>187200</c:v>
                </c:pt>
              </c:numCache>
            </c:numRef>
          </c:val>
          <c:extLst>
            <c:ext xmlns:c16="http://schemas.microsoft.com/office/drawing/2014/chart" uri="{C3380CC4-5D6E-409C-BE32-E72D297353CC}">
              <c16:uniqueId val="{00000000-C448-4F72-B363-953D694192DD}"/>
            </c:ext>
          </c:extLst>
        </c:ser>
        <c:dLbls>
          <c:showLegendKey val="0"/>
          <c:showVal val="0"/>
          <c:showCatName val="0"/>
          <c:showSerName val="0"/>
          <c:showPercent val="0"/>
          <c:showBubbleSize val="0"/>
        </c:dLbls>
        <c:axId val="375629104"/>
        <c:axId val="2122662096"/>
      </c:areaChart>
      <c:catAx>
        <c:axId val="37562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662096"/>
        <c:crosses val="autoZero"/>
        <c:auto val="1"/>
        <c:lblAlgn val="ctr"/>
        <c:lblOffset val="100"/>
        <c:noMultiLvlLbl val="0"/>
      </c:catAx>
      <c:valAx>
        <c:axId val="21226620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29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[International_Education_Costs_F .xlsx]Pivot_Table!PivotTable7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a:t>
            </a:r>
            <a:r>
              <a:rPr lang="en-GB" baseline="0"/>
              <a:t> 10 Countries by Study Cost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Pivot_Table!$V$1</c:f>
              <c:strCache>
                <c:ptCount val="1"/>
                <c:pt idx="0">
                  <c:v>Total</c:v>
                </c:pt>
              </c:strCache>
            </c:strRef>
          </c:tx>
          <c:spPr>
            <a:ln w="28575" cap="rnd">
              <a:solidFill>
                <a:schemeClr val="accent1"/>
              </a:solidFill>
              <a:round/>
            </a:ln>
            <a:effectLst/>
          </c:spPr>
          <c:marker>
            <c:symbol val="none"/>
          </c:marker>
          <c:cat>
            <c:strRef>
              <c:f>Pivot_Table!$U$2:$U$12</c:f>
              <c:strCache>
                <c:ptCount val="10"/>
                <c:pt idx="0">
                  <c:v>USA</c:v>
                </c:pt>
                <c:pt idx="1">
                  <c:v>Australia</c:v>
                </c:pt>
                <c:pt idx="2">
                  <c:v>UK</c:v>
                </c:pt>
                <c:pt idx="3">
                  <c:v>Canada</c:v>
                </c:pt>
                <c:pt idx="4">
                  <c:v>Singapore</c:v>
                </c:pt>
                <c:pt idx="5">
                  <c:v>Netherlands</c:v>
                </c:pt>
                <c:pt idx="6">
                  <c:v>New Zealand</c:v>
                </c:pt>
                <c:pt idx="7">
                  <c:v>UAE</c:v>
                </c:pt>
                <c:pt idx="8">
                  <c:v>Ireland</c:v>
                </c:pt>
                <c:pt idx="9">
                  <c:v>France</c:v>
                </c:pt>
              </c:strCache>
            </c:strRef>
          </c:cat>
          <c:val>
            <c:numRef>
              <c:f>Pivot_Table!$V$2:$V$12</c:f>
              <c:numCache>
                <c:formatCode>"$"#,##0.00</c:formatCode>
                <c:ptCount val="10"/>
                <c:pt idx="0">
                  <c:v>3998380</c:v>
                </c:pt>
                <c:pt idx="1">
                  <c:v>3188200</c:v>
                </c:pt>
                <c:pt idx="2">
                  <c:v>3054655</c:v>
                </c:pt>
                <c:pt idx="3">
                  <c:v>2397210</c:v>
                </c:pt>
                <c:pt idx="4">
                  <c:v>656220</c:v>
                </c:pt>
                <c:pt idx="5">
                  <c:v>323928</c:v>
                </c:pt>
                <c:pt idx="6">
                  <c:v>281335</c:v>
                </c:pt>
                <c:pt idx="7">
                  <c:v>212810</c:v>
                </c:pt>
                <c:pt idx="8">
                  <c:v>199000</c:v>
                </c:pt>
                <c:pt idx="9">
                  <c:v>177173</c:v>
                </c:pt>
              </c:numCache>
            </c:numRef>
          </c:val>
          <c:smooth val="0"/>
          <c:extLst>
            <c:ext xmlns:c16="http://schemas.microsoft.com/office/drawing/2014/chart" uri="{C3380CC4-5D6E-409C-BE32-E72D297353CC}">
              <c16:uniqueId val="{00000000-4D50-45D0-8D37-951DBA67F266}"/>
            </c:ext>
          </c:extLst>
        </c:ser>
        <c:dLbls>
          <c:showLegendKey val="0"/>
          <c:showVal val="0"/>
          <c:showCatName val="0"/>
          <c:showSerName val="0"/>
          <c:showPercent val="0"/>
          <c:showBubbleSize val="0"/>
        </c:dLbls>
        <c:smooth val="0"/>
        <c:axId val="293831296"/>
        <c:axId val="2122670736"/>
      </c:lineChart>
      <c:catAx>
        <c:axId val="29383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670736"/>
        <c:crosses val="autoZero"/>
        <c:auto val="1"/>
        <c:lblAlgn val="ctr"/>
        <c:lblOffset val="100"/>
        <c:noMultiLvlLbl val="0"/>
      </c:catAx>
      <c:valAx>
        <c:axId val="2122670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83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[International_Education_Costs_F .xlsx]Pivot_Table!PivotTable6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a:t>
            </a:r>
            <a:r>
              <a:rPr lang="en-GB" baseline="0"/>
              <a:t> 10 Program by Tuition</a:t>
            </a:r>
            <a:endParaRPr lang="en-GB"/>
          </a:p>
        </c:rich>
      </c:tx>
      <c:layout>
        <c:manualLayout>
          <c:xMode val="edge"/>
          <c:yMode val="edge"/>
          <c:x val="0.3264582239720035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Pivot_Table!$Q$1</c:f>
              <c:strCache>
                <c:ptCount val="1"/>
                <c:pt idx="0">
                  <c:v>Total</c:v>
                </c:pt>
              </c:strCache>
            </c:strRef>
          </c:tx>
          <c:spPr>
            <a:solidFill>
              <a:schemeClr val="accent1"/>
            </a:solidFill>
            <a:ln>
              <a:noFill/>
            </a:ln>
            <a:effectLst/>
          </c:spPr>
          <c:invertIfNegative val="0"/>
          <c:cat>
            <c:strRef>
              <c:f>Pivot_Table!$P$2:$P$12</c:f>
              <c:strCache>
                <c:ptCount val="10"/>
                <c:pt idx="0">
                  <c:v>Computer Science</c:v>
                </c:pt>
                <c:pt idx="1">
                  <c:v>Data Science</c:v>
                </c:pt>
                <c:pt idx="2">
                  <c:v>Computer Engineering</c:v>
                </c:pt>
                <c:pt idx="3">
                  <c:v>Artificial Intelligence</c:v>
                </c:pt>
                <c:pt idx="4">
                  <c:v>Data Analytics</c:v>
                </c:pt>
                <c:pt idx="5">
                  <c:v>Software Engineering</c:v>
                </c:pt>
                <c:pt idx="6">
                  <c:v>Information Systems</c:v>
                </c:pt>
                <c:pt idx="7">
                  <c:v>Engineering</c:v>
                </c:pt>
                <c:pt idx="8">
                  <c:v>Mathematics</c:v>
                </c:pt>
                <c:pt idx="9">
                  <c:v>Physics</c:v>
                </c:pt>
              </c:strCache>
            </c:strRef>
          </c:cat>
          <c:val>
            <c:numRef>
              <c:f>Pivot_Table!$Q$2:$Q$12</c:f>
              <c:numCache>
                <c:formatCode>"$"#,##0.00</c:formatCode>
                <c:ptCount val="10"/>
                <c:pt idx="0">
                  <c:v>7864360</c:v>
                </c:pt>
                <c:pt idx="1">
                  <c:v>1377530</c:v>
                </c:pt>
                <c:pt idx="2">
                  <c:v>695680</c:v>
                </c:pt>
                <c:pt idx="3">
                  <c:v>683460</c:v>
                </c:pt>
                <c:pt idx="4">
                  <c:v>655900</c:v>
                </c:pt>
                <c:pt idx="5">
                  <c:v>583270</c:v>
                </c:pt>
                <c:pt idx="6">
                  <c:v>249970</c:v>
                </c:pt>
                <c:pt idx="7">
                  <c:v>235800</c:v>
                </c:pt>
                <c:pt idx="8">
                  <c:v>233000</c:v>
                </c:pt>
                <c:pt idx="9">
                  <c:v>208660</c:v>
                </c:pt>
              </c:numCache>
            </c:numRef>
          </c:val>
          <c:extLst>
            <c:ext xmlns:c16="http://schemas.microsoft.com/office/drawing/2014/chart" uri="{C3380CC4-5D6E-409C-BE32-E72D297353CC}">
              <c16:uniqueId val="{00000000-6D98-4AC0-BA28-0C8291610A14}"/>
            </c:ext>
          </c:extLst>
        </c:ser>
        <c:dLbls>
          <c:showLegendKey val="0"/>
          <c:showVal val="0"/>
          <c:showCatName val="0"/>
          <c:showSerName val="0"/>
          <c:showPercent val="0"/>
          <c:showBubbleSize val="0"/>
        </c:dLbls>
        <c:gapWidth val="182"/>
        <c:axId val="293809024"/>
        <c:axId val="2122784496"/>
      </c:barChart>
      <c:catAx>
        <c:axId val="293809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784496"/>
        <c:crosses val="autoZero"/>
        <c:auto val="1"/>
        <c:lblAlgn val="ctr"/>
        <c:lblOffset val="100"/>
        <c:noMultiLvlLbl val="0"/>
      </c:catAx>
      <c:valAx>
        <c:axId val="21227844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80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[International_Education_Costs_F .xlsx]Pivot_Table!PivotTable5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20 Countries by Study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Pivot_Table!$I$2</c:f>
              <c:strCache>
                <c:ptCount val="1"/>
                <c:pt idx="0">
                  <c:v>Total</c:v>
                </c:pt>
              </c:strCache>
            </c:strRef>
          </c:tx>
          <c:spPr>
            <a:solidFill>
              <a:schemeClr val="accent1"/>
            </a:solidFill>
            <a:ln>
              <a:noFill/>
            </a:ln>
            <a:effectLst/>
          </c:spPr>
          <c:invertIfNegative val="0"/>
          <c:cat>
            <c:strRef>
              <c:f>Pivot_Table!$H$3:$H$23</c:f>
              <c:strCache>
                <c:ptCount val="20"/>
                <c:pt idx="0">
                  <c:v>Finland</c:v>
                </c:pt>
                <c:pt idx="1">
                  <c:v>Bulgaria</c:v>
                </c:pt>
                <c:pt idx="2">
                  <c:v>Iran</c:v>
                </c:pt>
                <c:pt idx="3">
                  <c:v>Uruguay</c:v>
                </c:pt>
                <c:pt idx="4">
                  <c:v>Luxembourg</c:v>
                </c:pt>
                <c:pt idx="5">
                  <c:v>Sweden</c:v>
                </c:pt>
                <c:pt idx="6">
                  <c:v>Serbia</c:v>
                </c:pt>
                <c:pt idx="7">
                  <c:v>Brazil</c:v>
                </c:pt>
                <c:pt idx="8">
                  <c:v>Morocco</c:v>
                </c:pt>
                <c:pt idx="9">
                  <c:v>Israel</c:v>
                </c:pt>
                <c:pt idx="10">
                  <c:v>Bangladesh</c:v>
                </c:pt>
                <c:pt idx="11">
                  <c:v>Iceland</c:v>
                </c:pt>
                <c:pt idx="12">
                  <c:v>Tunisia</c:v>
                </c:pt>
                <c:pt idx="13">
                  <c:v>Czech Republic</c:v>
                </c:pt>
                <c:pt idx="14">
                  <c:v>Algeria</c:v>
                </c:pt>
                <c:pt idx="15">
                  <c:v>South Africa</c:v>
                </c:pt>
                <c:pt idx="16">
                  <c:v>Taiwan</c:v>
                </c:pt>
                <c:pt idx="17">
                  <c:v>Argentina</c:v>
                </c:pt>
                <c:pt idx="18">
                  <c:v>Vietnam</c:v>
                </c:pt>
                <c:pt idx="19">
                  <c:v>Nigeria</c:v>
                </c:pt>
              </c:strCache>
            </c:strRef>
          </c:cat>
          <c:val>
            <c:numRef>
              <c:f>Pivot_Table!$I$3:$I$23</c:f>
              <c:numCache>
                <c:formatCode>"$"#,##0.0</c:formatCode>
                <c:ptCount val="20"/>
                <c:pt idx="0">
                  <c:v>19970</c:v>
                </c:pt>
                <c:pt idx="1">
                  <c:v>19750</c:v>
                </c:pt>
                <c:pt idx="2">
                  <c:v>17800</c:v>
                </c:pt>
                <c:pt idx="3">
                  <c:v>17610</c:v>
                </c:pt>
                <c:pt idx="4">
                  <c:v>17400</c:v>
                </c:pt>
                <c:pt idx="5">
                  <c:v>17230</c:v>
                </c:pt>
                <c:pt idx="6">
                  <c:v>16170</c:v>
                </c:pt>
                <c:pt idx="7">
                  <c:v>15720</c:v>
                </c:pt>
                <c:pt idx="8">
                  <c:v>15300</c:v>
                </c:pt>
                <c:pt idx="9">
                  <c:v>14150</c:v>
                </c:pt>
                <c:pt idx="10">
                  <c:v>13560</c:v>
                </c:pt>
                <c:pt idx="11">
                  <c:v>12340</c:v>
                </c:pt>
                <c:pt idx="12">
                  <c:v>11070</c:v>
                </c:pt>
                <c:pt idx="13">
                  <c:v>10950</c:v>
                </c:pt>
                <c:pt idx="14">
                  <c:v>7910</c:v>
                </c:pt>
                <c:pt idx="15">
                  <c:v>7040</c:v>
                </c:pt>
                <c:pt idx="16">
                  <c:v>6490</c:v>
                </c:pt>
                <c:pt idx="17">
                  <c:v>4060</c:v>
                </c:pt>
                <c:pt idx="18">
                  <c:v>4020</c:v>
                </c:pt>
                <c:pt idx="19">
                  <c:v>3380</c:v>
                </c:pt>
              </c:numCache>
            </c:numRef>
          </c:val>
          <c:extLst>
            <c:ext xmlns:c16="http://schemas.microsoft.com/office/drawing/2014/chart" uri="{C3380CC4-5D6E-409C-BE32-E72D297353CC}">
              <c16:uniqueId val="{00000000-6D81-4D65-A32A-6C88BB14C73C}"/>
            </c:ext>
          </c:extLst>
        </c:ser>
        <c:dLbls>
          <c:showLegendKey val="0"/>
          <c:showVal val="0"/>
          <c:showCatName val="0"/>
          <c:showSerName val="0"/>
          <c:showPercent val="0"/>
          <c:showBubbleSize val="0"/>
        </c:dLbls>
        <c:gapWidth val="182"/>
        <c:axId val="374127648"/>
        <c:axId val="161324624"/>
      </c:barChart>
      <c:catAx>
        <c:axId val="37412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24624"/>
        <c:crosses val="autoZero"/>
        <c:auto val="1"/>
        <c:lblAlgn val="ctr"/>
        <c:lblOffset val="100"/>
        <c:noMultiLvlLbl val="0"/>
      </c:catAx>
      <c:valAx>
        <c:axId val="16132462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2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[International_Education_Costs_F .xlsx]Pivot_Table!PivotTable5</c:name>
    <c:fmtId val="2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Bottom 20 Countries by Study Cost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solidFill>
              <a:srgbClr val="0070C0"/>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solidFill>
              <a:srgbClr val="0070C0"/>
            </a:solidFill>
          </a:ln>
          <a:effectLst/>
        </c:spPr>
      </c:pivotFmt>
    </c:pivotFmts>
    <c:plotArea>
      <c:layout>
        <c:manualLayout>
          <c:layoutTarget val="inner"/>
          <c:xMode val="edge"/>
          <c:yMode val="edge"/>
          <c:x val="0.23563175853018375"/>
          <c:y val="8.4417879583233921E-2"/>
          <c:w val="0.68316824146981625"/>
          <c:h val="0.87836713592619109"/>
        </c:manualLayout>
      </c:layout>
      <c:barChart>
        <c:barDir val="bar"/>
        <c:grouping val="clustered"/>
        <c:varyColors val="0"/>
        <c:ser>
          <c:idx val="0"/>
          <c:order val="0"/>
          <c:tx>
            <c:strRef>
              <c:f>Pivot_Table!$I$2</c:f>
              <c:strCache>
                <c:ptCount val="1"/>
                <c:pt idx="0">
                  <c:v>Total</c:v>
                </c:pt>
              </c:strCache>
            </c:strRef>
          </c:tx>
          <c:spPr>
            <a:solidFill>
              <a:schemeClr val="tx2">
                <a:lumMod val="50000"/>
                <a:lumOff val="50000"/>
              </a:schemeClr>
            </a:solidFill>
            <a:ln>
              <a:solidFill>
                <a:srgbClr val="0070C0"/>
              </a:solid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Pivot_Table!$H$3:$H$23</c:f>
              <c:strCache>
                <c:ptCount val="20"/>
                <c:pt idx="0">
                  <c:v>Finland</c:v>
                </c:pt>
                <c:pt idx="1">
                  <c:v>Bulgaria</c:v>
                </c:pt>
                <c:pt idx="2">
                  <c:v>Iran</c:v>
                </c:pt>
                <c:pt idx="3">
                  <c:v>Uruguay</c:v>
                </c:pt>
                <c:pt idx="4">
                  <c:v>Luxembourg</c:v>
                </c:pt>
                <c:pt idx="5">
                  <c:v>Sweden</c:v>
                </c:pt>
                <c:pt idx="6">
                  <c:v>Serbia</c:v>
                </c:pt>
                <c:pt idx="7">
                  <c:v>Brazil</c:v>
                </c:pt>
                <c:pt idx="8">
                  <c:v>Morocco</c:v>
                </c:pt>
                <c:pt idx="9">
                  <c:v>Israel</c:v>
                </c:pt>
                <c:pt idx="10">
                  <c:v>Bangladesh</c:v>
                </c:pt>
                <c:pt idx="11">
                  <c:v>Iceland</c:v>
                </c:pt>
                <c:pt idx="12">
                  <c:v>Tunisia</c:v>
                </c:pt>
                <c:pt idx="13">
                  <c:v>Czech Republic</c:v>
                </c:pt>
                <c:pt idx="14">
                  <c:v>Algeria</c:v>
                </c:pt>
                <c:pt idx="15">
                  <c:v>South Africa</c:v>
                </c:pt>
                <c:pt idx="16">
                  <c:v>Taiwan</c:v>
                </c:pt>
                <c:pt idx="17">
                  <c:v>Argentina</c:v>
                </c:pt>
                <c:pt idx="18">
                  <c:v>Vietnam</c:v>
                </c:pt>
                <c:pt idx="19">
                  <c:v>Nigeria</c:v>
                </c:pt>
              </c:strCache>
            </c:strRef>
          </c:cat>
          <c:val>
            <c:numRef>
              <c:f>Pivot_Table!$I$3:$I$23</c:f>
              <c:numCache>
                <c:formatCode>"$"#,##0.0</c:formatCode>
                <c:ptCount val="20"/>
                <c:pt idx="0">
                  <c:v>19970</c:v>
                </c:pt>
                <c:pt idx="1">
                  <c:v>19750</c:v>
                </c:pt>
                <c:pt idx="2">
                  <c:v>17800</c:v>
                </c:pt>
                <c:pt idx="3">
                  <c:v>17610</c:v>
                </c:pt>
                <c:pt idx="4">
                  <c:v>17400</c:v>
                </c:pt>
                <c:pt idx="5">
                  <c:v>17230</c:v>
                </c:pt>
                <c:pt idx="6">
                  <c:v>16170</c:v>
                </c:pt>
                <c:pt idx="7">
                  <c:v>15720</c:v>
                </c:pt>
                <c:pt idx="8">
                  <c:v>15300</c:v>
                </c:pt>
                <c:pt idx="9">
                  <c:v>14150</c:v>
                </c:pt>
                <c:pt idx="10">
                  <c:v>13560</c:v>
                </c:pt>
                <c:pt idx="11">
                  <c:v>12340</c:v>
                </c:pt>
                <c:pt idx="12">
                  <c:v>11070</c:v>
                </c:pt>
                <c:pt idx="13">
                  <c:v>10950</c:v>
                </c:pt>
                <c:pt idx="14">
                  <c:v>7910</c:v>
                </c:pt>
                <c:pt idx="15">
                  <c:v>7040</c:v>
                </c:pt>
                <c:pt idx="16">
                  <c:v>6490</c:v>
                </c:pt>
                <c:pt idx="17">
                  <c:v>4060</c:v>
                </c:pt>
                <c:pt idx="18">
                  <c:v>4020</c:v>
                </c:pt>
                <c:pt idx="19">
                  <c:v>3380</c:v>
                </c:pt>
              </c:numCache>
            </c:numRef>
          </c:val>
          <c:extLst>
            <c:ext xmlns:c16="http://schemas.microsoft.com/office/drawing/2014/chart" uri="{C3380CC4-5D6E-409C-BE32-E72D297353CC}">
              <c16:uniqueId val="{00000000-9BE2-45D4-A9C3-571508CC641E}"/>
            </c:ext>
          </c:extLst>
        </c:ser>
        <c:dLbls>
          <c:dLblPos val="outEnd"/>
          <c:showLegendKey val="0"/>
          <c:showVal val="1"/>
          <c:showCatName val="0"/>
          <c:showSerName val="0"/>
          <c:showPercent val="0"/>
          <c:showBubbleSize val="0"/>
        </c:dLbls>
        <c:gapWidth val="182"/>
        <c:axId val="374127648"/>
        <c:axId val="161324624"/>
      </c:barChart>
      <c:catAx>
        <c:axId val="37412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1324624"/>
        <c:crosses val="autoZero"/>
        <c:auto val="1"/>
        <c:lblAlgn val="ctr"/>
        <c:lblOffset val="100"/>
        <c:noMultiLvlLbl val="0"/>
      </c:catAx>
      <c:valAx>
        <c:axId val="16132462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crossAx val="37412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[International_Education_Costs_F .xlsx]Pivot_Table!PivotTable9</c:name>
    <c:fmtId val="3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Top 5 Countries by Tuition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Pivot_Table!$AK$2</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Pivot_Table!$AJ$3:$AJ$8</c:f>
              <c:strCache>
                <c:ptCount val="5"/>
                <c:pt idx="0">
                  <c:v>USA</c:v>
                </c:pt>
                <c:pt idx="1">
                  <c:v>Australia</c:v>
                </c:pt>
                <c:pt idx="2">
                  <c:v>UK</c:v>
                </c:pt>
                <c:pt idx="3">
                  <c:v>Canada</c:v>
                </c:pt>
                <c:pt idx="4">
                  <c:v>Switzerland</c:v>
                </c:pt>
              </c:strCache>
            </c:strRef>
          </c:cat>
          <c:val>
            <c:numRef>
              <c:f>Pivot_Table!$AK$3:$AK$8</c:f>
              <c:numCache>
                <c:formatCode>"$"#,##0.0</c:formatCode>
                <c:ptCount val="5"/>
                <c:pt idx="0">
                  <c:v>145000</c:v>
                </c:pt>
                <c:pt idx="1">
                  <c:v>117100</c:v>
                </c:pt>
                <c:pt idx="2">
                  <c:v>113100</c:v>
                </c:pt>
                <c:pt idx="3">
                  <c:v>88750</c:v>
                </c:pt>
                <c:pt idx="4">
                  <c:v>33800</c:v>
                </c:pt>
              </c:numCache>
            </c:numRef>
          </c:val>
          <c:extLst>
            <c:ext xmlns:c16="http://schemas.microsoft.com/office/drawing/2014/chart" uri="{C3380CC4-5D6E-409C-BE32-E72D297353CC}">
              <c16:uniqueId val="{00000000-9F00-459F-A988-0FE9983B4E6A}"/>
            </c:ext>
          </c:extLst>
        </c:ser>
        <c:dLbls>
          <c:dLblPos val="outEnd"/>
          <c:showLegendKey val="0"/>
          <c:showVal val="1"/>
          <c:showCatName val="0"/>
          <c:showSerName val="0"/>
          <c:showPercent val="0"/>
          <c:showBubbleSize val="0"/>
        </c:dLbls>
        <c:gapWidth val="219"/>
        <c:overlap val="-27"/>
        <c:axId val="375642096"/>
        <c:axId val="2122676976"/>
      </c:barChart>
      <c:catAx>
        <c:axId val="37564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22676976"/>
        <c:crosses val="autoZero"/>
        <c:auto val="1"/>
        <c:lblAlgn val="ctr"/>
        <c:lblOffset val="100"/>
        <c:noMultiLvlLbl val="0"/>
      </c:catAx>
      <c:valAx>
        <c:axId val="2122676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7564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[International_Education_Costs_F .xlsx]Pivot_Table!PivotTable8</c:name>
    <c:fmtId val="2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Top 5  Schools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Pivot_Table!$AC$1</c:f>
              <c:strCache>
                <c:ptCount val="1"/>
                <c:pt idx="0">
                  <c:v>Total</c:v>
                </c:pt>
              </c:strCache>
            </c:strRef>
          </c:tx>
          <c:spPr>
            <a:solidFill>
              <a:schemeClr val="tx2">
                <a:lumMod val="50000"/>
                <a:lumOff val="50000"/>
              </a:schemeClr>
            </a:solidFill>
            <a:ln>
              <a:noFill/>
            </a:ln>
            <a:effectLst/>
          </c:spP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Pivot_Table!$AB$2:$AB$12</c:f>
              <c:multiLvlStrCache>
                <c:ptCount val="5"/>
                <c:lvl>
                  <c:pt idx="0">
                    <c:v>USA</c:v>
                  </c:pt>
                  <c:pt idx="1">
                    <c:v>USA</c:v>
                  </c:pt>
                  <c:pt idx="2">
                    <c:v>USA</c:v>
                  </c:pt>
                  <c:pt idx="3">
                    <c:v>Australia</c:v>
                  </c:pt>
                  <c:pt idx="4">
                    <c:v>Australia</c:v>
                  </c:pt>
                </c:lvl>
                <c:lvl>
                  <c:pt idx="0">
                    <c:v>University of Washington</c:v>
                  </c:pt>
                  <c:pt idx="1">
                    <c:v>Stanford University</c:v>
                  </c:pt>
                  <c:pt idx="2">
                    <c:v>UC Berkeley</c:v>
                  </c:pt>
                  <c:pt idx="3">
                    <c:v>University of Melbourne</c:v>
                  </c:pt>
                  <c:pt idx="4">
                    <c:v>University of Sydney</c:v>
                  </c:pt>
                </c:lvl>
              </c:multiLvlStrCache>
            </c:multiLvlStrRef>
          </c:cat>
          <c:val>
            <c:numRef>
              <c:f>Pivot_Table!$AC$2:$AC$12</c:f>
              <c:numCache>
                <c:formatCode>"$"#,##0</c:formatCode>
                <c:ptCount val="5"/>
                <c:pt idx="0">
                  <c:v>280700</c:v>
                </c:pt>
                <c:pt idx="1">
                  <c:v>270200</c:v>
                </c:pt>
                <c:pt idx="2">
                  <c:v>196400</c:v>
                </c:pt>
                <c:pt idx="3">
                  <c:v>194300</c:v>
                </c:pt>
                <c:pt idx="4">
                  <c:v>187200</c:v>
                </c:pt>
              </c:numCache>
            </c:numRef>
          </c:val>
          <c:extLst>
            <c:ext xmlns:c16="http://schemas.microsoft.com/office/drawing/2014/chart" uri="{C3380CC4-5D6E-409C-BE32-E72D297353CC}">
              <c16:uniqueId val="{00000000-23BF-4BB0-8D80-543C50FDF148}"/>
            </c:ext>
          </c:extLst>
        </c:ser>
        <c:dLbls>
          <c:showLegendKey val="0"/>
          <c:showVal val="1"/>
          <c:showCatName val="0"/>
          <c:showSerName val="0"/>
          <c:showPercent val="0"/>
          <c:showBubbleSize val="0"/>
        </c:dLbls>
        <c:axId val="375629104"/>
        <c:axId val="2122662096"/>
      </c:areaChart>
      <c:catAx>
        <c:axId val="37562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22662096"/>
        <c:crosses val="autoZero"/>
        <c:auto val="1"/>
        <c:lblAlgn val="ctr"/>
        <c:lblOffset val="100"/>
        <c:noMultiLvlLbl val="0"/>
      </c:catAx>
      <c:valAx>
        <c:axId val="21226620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75629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[International_Education_Costs_F .xlsx]Pivot_Table!PivotTable3</c:name>
    <c:fmtId val="2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a:t>Level by Tuition &amp; Program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926993275696449"/>
                  <c:h val="0.11623608256189356"/>
                </c:manualLayout>
              </c15:layout>
            </c:ext>
          </c:extLst>
        </c:dLbl>
      </c:pivotFmt>
      <c:pivotFmt>
        <c:idx val="5"/>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853025936599427"/>
                  <c:h val="0.11623608256189356"/>
                </c:manualLayout>
              </c15:layout>
            </c:ext>
          </c:extLst>
        </c:dLbl>
      </c:pivotFmt>
      <c:pivotFmt>
        <c:idx val="6"/>
        <c:spPr>
          <a:solidFill>
            <a:schemeClr val="tx2">
              <a:lumMod val="50000"/>
              <a:lumOff val="50000"/>
            </a:schemeClr>
          </a:solidFill>
          <a:ln>
            <a:noFill/>
          </a:ln>
          <a:effectLst/>
        </c:spPr>
        <c:dLbl>
          <c:idx val="0"/>
          <c:layout>
            <c:manualLayout>
              <c:x val="9.6061479346782001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16042267050913"/>
                  <c:h val="0.11623608256189356"/>
                </c:manualLayout>
              </c15:layout>
            </c:ext>
          </c:extLst>
        </c:dLbl>
      </c:pivotFmt>
    </c:pivotFmts>
    <c:plotArea>
      <c:layout/>
      <c:barChart>
        <c:barDir val="col"/>
        <c:grouping val="clustered"/>
        <c:varyColors val="0"/>
        <c:ser>
          <c:idx val="0"/>
          <c:order val="0"/>
          <c:tx>
            <c:strRef>
              <c:f>Pivot_Table!$B$3</c:f>
              <c:strCache>
                <c:ptCount val="1"/>
                <c:pt idx="0">
                  <c:v>Total</c:v>
                </c:pt>
              </c:strCache>
            </c:strRef>
          </c:tx>
          <c:spPr>
            <a:solidFill>
              <a:schemeClr val="tx2">
                <a:lumMod val="50000"/>
                <a:lumOff val="50000"/>
              </a:schemeClr>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4853025936599427"/>
                      <c:h val="0.11623608256189356"/>
                    </c:manualLayout>
                  </c15:layout>
                </c:ext>
                <c:ext xmlns:c16="http://schemas.microsoft.com/office/drawing/2014/chart" uri="{C3380CC4-5D6E-409C-BE32-E72D297353CC}">
                  <c16:uniqueId val="{00000002-F6D7-402B-8A84-18F315CA9539}"/>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7926993275696449"/>
                      <c:h val="0.11623608256189356"/>
                    </c:manualLayout>
                  </c15:layout>
                </c:ext>
                <c:ext xmlns:c16="http://schemas.microsoft.com/office/drawing/2014/chart" uri="{C3380CC4-5D6E-409C-BE32-E72D297353CC}">
                  <c16:uniqueId val="{00000001-F6D7-402B-8A84-18F315CA9539}"/>
                </c:ext>
              </c:extLst>
            </c:dLbl>
            <c:dLbl>
              <c:idx val="2"/>
              <c:layout>
                <c:manualLayout>
                  <c:x val="9.6061479346782001E-3"/>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316042267050913"/>
                      <c:h val="0.11623608256189356"/>
                    </c:manualLayout>
                  </c15:layout>
                </c:ext>
                <c:ext xmlns:c16="http://schemas.microsoft.com/office/drawing/2014/chart" uri="{C3380CC4-5D6E-409C-BE32-E72D297353CC}">
                  <c16:uniqueId val="{00000003-F6D7-402B-8A84-18F315CA953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Pivot_Table!$A$4:$A$7</c:f>
              <c:strCache>
                <c:ptCount val="3"/>
                <c:pt idx="0">
                  <c:v>Master</c:v>
                </c:pt>
                <c:pt idx="1">
                  <c:v>Bachelor</c:v>
                </c:pt>
                <c:pt idx="2">
                  <c:v>PhD</c:v>
                </c:pt>
              </c:strCache>
            </c:strRef>
          </c:cat>
          <c:val>
            <c:numRef>
              <c:f>Pivot_Table!$B$4:$B$7</c:f>
              <c:numCache>
                <c:formatCode>"$"#,##0.00</c:formatCode>
                <c:ptCount val="3"/>
                <c:pt idx="0">
                  <c:v>6549420</c:v>
                </c:pt>
                <c:pt idx="1">
                  <c:v>5878430</c:v>
                </c:pt>
                <c:pt idx="2">
                  <c:v>2723600</c:v>
                </c:pt>
              </c:numCache>
            </c:numRef>
          </c:val>
          <c:extLst>
            <c:ext xmlns:c16="http://schemas.microsoft.com/office/drawing/2014/chart" uri="{C3380CC4-5D6E-409C-BE32-E72D297353CC}">
              <c16:uniqueId val="{00000000-F6D7-402B-8A84-18F315CA9539}"/>
            </c:ext>
          </c:extLst>
        </c:ser>
        <c:dLbls>
          <c:dLblPos val="outEnd"/>
          <c:showLegendKey val="0"/>
          <c:showVal val="1"/>
          <c:showCatName val="0"/>
          <c:showSerName val="0"/>
          <c:showPercent val="0"/>
          <c:showBubbleSize val="0"/>
        </c:dLbls>
        <c:gapWidth val="219"/>
        <c:overlap val="-27"/>
        <c:axId val="929360223"/>
        <c:axId val="929360703"/>
      </c:barChart>
      <c:catAx>
        <c:axId val="92936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29360703"/>
        <c:crosses val="autoZero"/>
        <c:auto val="1"/>
        <c:lblAlgn val="ctr"/>
        <c:lblOffset val="100"/>
        <c:noMultiLvlLbl val="0"/>
      </c:catAx>
      <c:valAx>
        <c:axId val="929360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2936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[International_Education_Costs_F .xlsx]Pivot_Table!PivotTable6</c:name>
    <c:fmtId val="1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a:t>Top 10 Program by Tuition</a:t>
            </a:r>
          </a:p>
        </c:rich>
      </c:tx>
      <c:layout>
        <c:manualLayout>
          <c:xMode val="edge"/>
          <c:yMode val="edge"/>
          <c:x val="0.32645822397200353"/>
          <c:y val="5.9164479440069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Pivot_Table!$Q$1</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Pivot_Table!$P$2:$P$12</c:f>
              <c:strCache>
                <c:ptCount val="10"/>
                <c:pt idx="0">
                  <c:v>Computer Science</c:v>
                </c:pt>
                <c:pt idx="1">
                  <c:v>Data Science</c:v>
                </c:pt>
                <c:pt idx="2">
                  <c:v>Computer Engineering</c:v>
                </c:pt>
                <c:pt idx="3">
                  <c:v>Artificial Intelligence</c:v>
                </c:pt>
                <c:pt idx="4">
                  <c:v>Data Analytics</c:v>
                </c:pt>
                <c:pt idx="5">
                  <c:v>Software Engineering</c:v>
                </c:pt>
                <c:pt idx="6">
                  <c:v>Information Systems</c:v>
                </c:pt>
                <c:pt idx="7">
                  <c:v>Engineering</c:v>
                </c:pt>
                <c:pt idx="8">
                  <c:v>Mathematics</c:v>
                </c:pt>
                <c:pt idx="9">
                  <c:v>Physics</c:v>
                </c:pt>
              </c:strCache>
            </c:strRef>
          </c:cat>
          <c:val>
            <c:numRef>
              <c:f>Pivot_Table!$Q$2:$Q$12</c:f>
              <c:numCache>
                <c:formatCode>"$"#,##0.00</c:formatCode>
                <c:ptCount val="10"/>
                <c:pt idx="0">
                  <c:v>7864360</c:v>
                </c:pt>
                <c:pt idx="1">
                  <c:v>1377530</c:v>
                </c:pt>
                <c:pt idx="2">
                  <c:v>695680</c:v>
                </c:pt>
                <c:pt idx="3">
                  <c:v>683460</c:v>
                </c:pt>
                <c:pt idx="4">
                  <c:v>655900</c:v>
                </c:pt>
                <c:pt idx="5">
                  <c:v>583270</c:v>
                </c:pt>
                <c:pt idx="6">
                  <c:v>249970</c:v>
                </c:pt>
                <c:pt idx="7">
                  <c:v>235800</c:v>
                </c:pt>
                <c:pt idx="8">
                  <c:v>233000</c:v>
                </c:pt>
                <c:pt idx="9">
                  <c:v>208660</c:v>
                </c:pt>
              </c:numCache>
            </c:numRef>
          </c:val>
          <c:extLst>
            <c:ext xmlns:c16="http://schemas.microsoft.com/office/drawing/2014/chart" uri="{C3380CC4-5D6E-409C-BE32-E72D297353CC}">
              <c16:uniqueId val="{00000000-35C4-4D3F-85DF-BCD450F50262}"/>
            </c:ext>
          </c:extLst>
        </c:ser>
        <c:dLbls>
          <c:dLblPos val="outEnd"/>
          <c:showLegendKey val="0"/>
          <c:showVal val="1"/>
          <c:showCatName val="0"/>
          <c:showSerName val="0"/>
          <c:showPercent val="0"/>
          <c:showBubbleSize val="0"/>
        </c:dLbls>
        <c:gapWidth val="182"/>
        <c:axId val="293809024"/>
        <c:axId val="2122784496"/>
      </c:barChart>
      <c:catAx>
        <c:axId val="293809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22784496"/>
        <c:crosses val="autoZero"/>
        <c:auto val="1"/>
        <c:lblAlgn val="ctr"/>
        <c:lblOffset val="100"/>
        <c:noMultiLvlLbl val="0"/>
      </c:catAx>
      <c:valAx>
        <c:axId val="2122784496"/>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29380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[International_Education_Costs_F .xlsx]Pivot_Table!PivotTable7</c:name>
    <c:fmtId val="2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a:t>Top 10 Countries by Study Cost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solidFill>
              <a:schemeClr val="tx2">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solidFill>
              <a:schemeClr val="tx2">
                <a:lumMod val="50000"/>
                <a:lumOff val="50000"/>
              </a:schemeClr>
            </a:solidFill>
          </a:ln>
          <a:effectLst/>
        </c:spPr>
      </c:pivotFmt>
      <c:pivotFmt>
        <c:idx val="4"/>
        <c:spPr>
          <a:solidFill>
            <a:schemeClr val="tx2">
              <a:lumMod val="50000"/>
              <a:lumOff val="50000"/>
            </a:schemeClr>
          </a:solidFill>
          <a:ln>
            <a:solidFill>
              <a:schemeClr val="tx2">
                <a:lumMod val="50000"/>
                <a:lumOff val="50000"/>
              </a:schemeClr>
            </a:solidFill>
          </a:ln>
          <a:effectLst/>
        </c:spPr>
      </c:pivotFmt>
      <c:pivotFmt>
        <c:idx val="5"/>
        <c:spPr>
          <a:solidFill>
            <a:schemeClr val="tx2">
              <a:lumMod val="50000"/>
              <a:lumOff val="50000"/>
            </a:schemeClr>
          </a:solidFill>
          <a:ln>
            <a:solidFill>
              <a:schemeClr val="tx2">
                <a:lumMod val="50000"/>
                <a:lumOff val="50000"/>
              </a:schemeClr>
            </a:solidFill>
          </a:ln>
          <a:effectLst/>
        </c:spPr>
      </c:pivotFmt>
      <c:pivotFmt>
        <c:idx val="6"/>
        <c:spPr>
          <a:solidFill>
            <a:schemeClr val="tx2">
              <a:lumMod val="50000"/>
              <a:lumOff val="50000"/>
            </a:schemeClr>
          </a:solidFill>
          <a:ln>
            <a:solidFill>
              <a:schemeClr val="tx2">
                <a:lumMod val="50000"/>
                <a:lumOff val="50000"/>
              </a:schemeClr>
            </a:solidFill>
          </a:ln>
          <a:effectLst/>
        </c:spPr>
      </c:pivotFmt>
      <c:pivotFmt>
        <c:idx val="7"/>
        <c:spPr>
          <a:solidFill>
            <a:schemeClr val="tx2">
              <a:lumMod val="50000"/>
              <a:lumOff val="50000"/>
            </a:schemeClr>
          </a:solidFill>
          <a:ln>
            <a:solidFill>
              <a:schemeClr val="tx2">
                <a:lumMod val="50000"/>
                <a:lumOff val="50000"/>
              </a:schemeClr>
            </a:solidFill>
          </a:ln>
          <a:effectLst/>
        </c:spPr>
      </c:pivotFmt>
      <c:pivotFmt>
        <c:idx val="8"/>
        <c:spPr>
          <a:solidFill>
            <a:schemeClr val="tx2">
              <a:lumMod val="50000"/>
              <a:lumOff val="50000"/>
            </a:schemeClr>
          </a:solidFill>
          <a:ln>
            <a:solidFill>
              <a:schemeClr val="tx2">
                <a:lumMod val="50000"/>
                <a:lumOff val="50000"/>
              </a:schemeClr>
            </a:solidFill>
          </a:ln>
          <a:effectLst/>
        </c:spPr>
      </c:pivotFmt>
    </c:pivotFmts>
    <c:plotArea>
      <c:layout/>
      <c:barChart>
        <c:barDir val="bar"/>
        <c:grouping val="clustered"/>
        <c:varyColors val="0"/>
        <c:ser>
          <c:idx val="0"/>
          <c:order val="0"/>
          <c:tx>
            <c:strRef>
              <c:f>Pivot_Table!$V$1</c:f>
              <c:strCache>
                <c:ptCount val="1"/>
                <c:pt idx="0">
                  <c:v>Total</c:v>
                </c:pt>
              </c:strCache>
            </c:strRef>
          </c:tx>
          <c:spPr>
            <a:solidFill>
              <a:schemeClr val="tx2">
                <a:lumMod val="50000"/>
                <a:lumOff val="50000"/>
              </a:schemeClr>
            </a:solidFill>
            <a:ln>
              <a:solidFill>
                <a:schemeClr val="tx2">
                  <a:lumMod val="50000"/>
                  <a:lumOff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Pivot_Table!$U$2:$U$12</c:f>
              <c:strCache>
                <c:ptCount val="10"/>
                <c:pt idx="0">
                  <c:v>USA</c:v>
                </c:pt>
                <c:pt idx="1">
                  <c:v>Australia</c:v>
                </c:pt>
                <c:pt idx="2">
                  <c:v>UK</c:v>
                </c:pt>
                <c:pt idx="3">
                  <c:v>Canada</c:v>
                </c:pt>
                <c:pt idx="4">
                  <c:v>Singapore</c:v>
                </c:pt>
                <c:pt idx="5">
                  <c:v>Netherlands</c:v>
                </c:pt>
                <c:pt idx="6">
                  <c:v>New Zealand</c:v>
                </c:pt>
                <c:pt idx="7">
                  <c:v>UAE</c:v>
                </c:pt>
                <c:pt idx="8">
                  <c:v>Ireland</c:v>
                </c:pt>
                <c:pt idx="9">
                  <c:v>France</c:v>
                </c:pt>
              </c:strCache>
            </c:strRef>
          </c:cat>
          <c:val>
            <c:numRef>
              <c:f>Pivot_Table!$V$2:$V$12</c:f>
              <c:numCache>
                <c:formatCode>"$"#,##0.00</c:formatCode>
                <c:ptCount val="10"/>
                <c:pt idx="0">
                  <c:v>3998380</c:v>
                </c:pt>
                <c:pt idx="1">
                  <c:v>3188200</c:v>
                </c:pt>
                <c:pt idx="2">
                  <c:v>3054655</c:v>
                </c:pt>
                <c:pt idx="3">
                  <c:v>2397210</c:v>
                </c:pt>
                <c:pt idx="4">
                  <c:v>656220</c:v>
                </c:pt>
                <c:pt idx="5">
                  <c:v>323928</c:v>
                </c:pt>
                <c:pt idx="6">
                  <c:v>281335</c:v>
                </c:pt>
                <c:pt idx="7">
                  <c:v>212810</c:v>
                </c:pt>
                <c:pt idx="8">
                  <c:v>199000</c:v>
                </c:pt>
                <c:pt idx="9">
                  <c:v>177173</c:v>
                </c:pt>
              </c:numCache>
            </c:numRef>
          </c:val>
          <c:extLst>
            <c:ext xmlns:c16="http://schemas.microsoft.com/office/drawing/2014/chart" uri="{C3380CC4-5D6E-409C-BE32-E72D297353CC}">
              <c16:uniqueId val="{00000000-8153-4790-98B7-E41F831DB751}"/>
            </c:ext>
          </c:extLst>
        </c:ser>
        <c:dLbls>
          <c:dLblPos val="outEnd"/>
          <c:showLegendKey val="0"/>
          <c:showVal val="1"/>
          <c:showCatName val="0"/>
          <c:showSerName val="0"/>
          <c:showPercent val="0"/>
          <c:showBubbleSize val="0"/>
        </c:dLbls>
        <c:gapWidth val="150"/>
        <c:axId val="293831296"/>
        <c:axId val="2122670736"/>
      </c:barChart>
      <c:catAx>
        <c:axId val="293831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22670736"/>
        <c:crosses val="autoZero"/>
        <c:auto val="1"/>
        <c:lblAlgn val="ctr"/>
        <c:lblOffset val="100"/>
        <c:noMultiLvlLbl val="0"/>
      </c:catAx>
      <c:valAx>
        <c:axId val="2122670736"/>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29383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xdr:col>
      <xdr:colOff>533400</xdr:colOff>
      <xdr:row>34</xdr:row>
      <xdr:rowOff>175260</xdr:rowOff>
    </xdr:from>
    <xdr:to>
      <xdr:col>2</xdr:col>
      <xdr:colOff>624840</xdr:colOff>
      <xdr:row>39</xdr:row>
      <xdr:rowOff>1</xdr:rowOff>
    </xdr:to>
    <mc:AlternateContent xmlns:mc="http://schemas.openxmlformats.org/markup-compatibility/2006" xmlns:a14="http://schemas.microsoft.com/office/drawing/2010/main">
      <mc:Choice Requires="a14">
        <xdr:graphicFrame macro="">
          <xdr:nvGraphicFramePr>
            <xdr:cNvPr id="6" name="University 1">
              <a:extLst>
                <a:ext uri="{FF2B5EF4-FFF2-40B4-BE49-F238E27FC236}">
                  <a16:creationId xmlns:a16="http://schemas.microsoft.com/office/drawing/2014/main" id="{AE3E3306-AA2B-4B74-BBBF-1ED556B493E8}"/>
                </a:ext>
              </a:extLst>
            </xdr:cNvPr>
            <xdr:cNvGraphicFramePr/>
          </xdr:nvGraphicFramePr>
          <xdr:xfrm>
            <a:off x="0" y="0"/>
            <a:ext cx="0" cy="0"/>
          </xdr:xfrm>
          <a:graphic>
            <a:graphicData uri="http://schemas.microsoft.com/office/drawing/2010/slicer">
              <sle:slicer xmlns:sle="http://schemas.microsoft.com/office/drawing/2010/slicer" name="University 1"/>
            </a:graphicData>
          </a:graphic>
        </xdr:graphicFrame>
      </mc:Choice>
      <mc:Fallback xmlns="">
        <xdr:sp macro="" textlink="">
          <xdr:nvSpPr>
            <xdr:cNvPr id="0" name=""/>
            <xdr:cNvSpPr>
              <a:spLocks noTextEdit="1"/>
            </xdr:cNvSpPr>
          </xdr:nvSpPr>
          <xdr:spPr>
            <a:xfrm>
              <a:off x="1386840" y="6393180"/>
              <a:ext cx="1272540" cy="7391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45720</xdr:colOff>
      <xdr:row>35</xdr:row>
      <xdr:rowOff>15240</xdr:rowOff>
    </xdr:from>
    <xdr:to>
      <xdr:col>5</xdr:col>
      <xdr:colOff>434340</xdr:colOff>
      <xdr:row>38</xdr:row>
      <xdr:rowOff>99060</xdr:rowOff>
    </xdr:to>
    <mc:AlternateContent xmlns:mc="http://schemas.openxmlformats.org/markup-compatibility/2006" xmlns:a14="http://schemas.microsoft.com/office/drawing/2010/main">
      <mc:Choice Requires="a14">
        <xdr:graphicFrame macro="">
          <xdr:nvGraphicFramePr>
            <xdr:cNvPr id="8" name="Program 1">
              <a:extLst>
                <a:ext uri="{FF2B5EF4-FFF2-40B4-BE49-F238E27FC236}">
                  <a16:creationId xmlns:a16="http://schemas.microsoft.com/office/drawing/2014/main" id="{E98C4F03-023B-44A4-A403-84BCB12CE9C5}"/>
                </a:ext>
              </a:extLst>
            </xdr:cNvPr>
            <xdr:cNvGraphicFramePr/>
          </xdr:nvGraphicFramePr>
          <xdr:xfrm>
            <a:off x="0" y="0"/>
            <a:ext cx="0" cy="0"/>
          </xdr:xfrm>
          <a:graphic>
            <a:graphicData uri="http://schemas.microsoft.com/office/drawing/2010/slicer">
              <sle:slicer xmlns:sle="http://schemas.microsoft.com/office/drawing/2010/slicer" name="Program 1"/>
            </a:graphicData>
          </a:graphic>
        </xdr:graphicFrame>
      </mc:Choice>
      <mc:Fallback xmlns="">
        <xdr:sp macro="" textlink="">
          <xdr:nvSpPr>
            <xdr:cNvPr id="0" name=""/>
            <xdr:cNvSpPr>
              <a:spLocks noTextEdit="1"/>
            </xdr:cNvSpPr>
          </xdr:nvSpPr>
          <xdr:spPr>
            <a:xfrm>
              <a:off x="4831080" y="6416040"/>
              <a:ext cx="1310640" cy="6324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480060</xdr:colOff>
      <xdr:row>1</xdr:row>
      <xdr:rowOff>26670</xdr:rowOff>
    </xdr:from>
    <xdr:to>
      <xdr:col>6</xdr:col>
      <xdr:colOff>464820</xdr:colOff>
      <xdr:row>13</xdr:row>
      <xdr:rowOff>137160</xdr:rowOff>
    </xdr:to>
    <xdr:graphicFrame macro="">
      <xdr:nvGraphicFramePr>
        <xdr:cNvPr id="12" name="Chart 11">
          <a:extLst>
            <a:ext uri="{FF2B5EF4-FFF2-40B4-BE49-F238E27FC236}">
              <a16:creationId xmlns:a16="http://schemas.microsoft.com/office/drawing/2014/main" id="{C1376371-4DAF-A511-23D9-E079D4C25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655320</xdr:colOff>
      <xdr:row>35</xdr:row>
      <xdr:rowOff>0</xdr:rowOff>
    </xdr:from>
    <xdr:to>
      <xdr:col>3</xdr:col>
      <xdr:colOff>716280</xdr:colOff>
      <xdr:row>39</xdr:row>
      <xdr:rowOff>0</xdr:rowOff>
    </xdr:to>
    <mc:AlternateContent xmlns:mc="http://schemas.openxmlformats.org/markup-compatibility/2006" xmlns:a14="http://schemas.microsoft.com/office/drawing/2010/main">
      <mc:Choice Requires="a14">
        <xdr:graphicFrame macro="">
          <xdr:nvGraphicFramePr>
            <xdr:cNvPr id="14" name="Level 3">
              <a:extLst>
                <a:ext uri="{FF2B5EF4-FFF2-40B4-BE49-F238E27FC236}">
                  <a16:creationId xmlns:a16="http://schemas.microsoft.com/office/drawing/2014/main" id="{AE723FF6-2BFF-4D0D-811D-8D9627202592}"/>
                </a:ext>
              </a:extLst>
            </xdr:cNvPr>
            <xdr:cNvGraphicFramePr/>
          </xdr:nvGraphicFramePr>
          <xdr:xfrm>
            <a:off x="0" y="0"/>
            <a:ext cx="0" cy="0"/>
          </xdr:xfrm>
          <a:graphic>
            <a:graphicData uri="http://schemas.microsoft.com/office/drawing/2010/slicer">
              <sle:slicer xmlns:sle="http://schemas.microsoft.com/office/drawing/2010/slicer" name="Level 3"/>
            </a:graphicData>
          </a:graphic>
        </xdr:graphicFrame>
      </mc:Choice>
      <mc:Fallback xmlns="">
        <xdr:sp macro="" textlink="">
          <xdr:nvSpPr>
            <xdr:cNvPr id="0" name=""/>
            <xdr:cNvSpPr>
              <a:spLocks noTextEdit="1"/>
            </xdr:cNvSpPr>
          </xdr:nvSpPr>
          <xdr:spPr>
            <a:xfrm>
              <a:off x="2781300" y="6400800"/>
              <a:ext cx="1295400" cy="7315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548640</xdr:colOff>
      <xdr:row>41</xdr:row>
      <xdr:rowOff>22860</xdr:rowOff>
    </xdr:from>
    <xdr:to>
      <xdr:col>2</xdr:col>
      <xdr:colOff>647700</xdr:colOff>
      <xdr:row>44</xdr:row>
      <xdr:rowOff>99060</xdr:rowOff>
    </xdr:to>
    <mc:AlternateContent xmlns:mc="http://schemas.openxmlformats.org/markup-compatibility/2006" xmlns:a14="http://schemas.microsoft.com/office/drawing/2010/main">
      <mc:Choice Requires="a14">
        <xdr:graphicFrame macro="">
          <xdr:nvGraphicFramePr>
            <xdr:cNvPr id="15" name="Country 3">
              <a:extLst>
                <a:ext uri="{FF2B5EF4-FFF2-40B4-BE49-F238E27FC236}">
                  <a16:creationId xmlns:a16="http://schemas.microsoft.com/office/drawing/2014/main" id="{410EF40E-FACE-4B82-B673-4FD9F18CF22D}"/>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1402080" y="7520940"/>
              <a:ext cx="1280160" cy="6248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708660</xdr:colOff>
      <xdr:row>40</xdr:row>
      <xdr:rowOff>83820</xdr:rowOff>
    </xdr:from>
    <xdr:to>
      <xdr:col>3</xdr:col>
      <xdr:colOff>784860</xdr:colOff>
      <xdr:row>44</xdr:row>
      <xdr:rowOff>83819</xdr:rowOff>
    </xdr:to>
    <mc:AlternateContent xmlns:mc="http://schemas.openxmlformats.org/markup-compatibility/2006" xmlns:a14="http://schemas.microsoft.com/office/drawing/2010/main">
      <mc:Choice Requires="a14">
        <xdr:graphicFrame macro="">
          <xdr:nvGraphicFramePr>
            <xdr:cNvPr id="16" name="City 2">
              <a:extLst>
                <a:ext uri="{FF2B5EF4-FFF2-40B4-BE49-F238E27FC236}">
                  <a16:creationId xmlns:a16="http://schemas.microsoft.com/office/drawing/2014/main" id="{785E082E-4F86-4EB6-A52B-3901418B5306}"/>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2834640" y="7399020"/>
              <a:ext cx="1310640" cy="7315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1341120</xdr:colOff>
      <xdr:row>15</xdr:row>
      <xdr:rowOff>133350</xdr:rowOff>
    </xdr:from>
    <xdr:to>
      <xdr:col>6</xdr:col>
      <xdr:colOff>167640</xdr:colOff>
      <xdr:row>28</xdr:row>
      <xdr:rowOff>175260</xdr:rowOff>
    </xdr:to>
    <xdr:graphicFrame macro="">
      <xdr:nvGraphicFramePr>
        <xdr:cNvPr id="2" name="Chart 1">
          <a:extLst>
            <a:ext uri="{FF2B5EF4-FFF2-40B4-BE49-F238E27FC236}">
              <a16:creationId xmlns:a16="http://schemas.microsoft.com/office/drawing/2014/main" id="{7FED6325-36D2-CF36-F436-982B139CC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342900</xdr:colOff>
      <xdr:row>0</xdr:row>
      <xdr:rowOff>49530</xdr:rowOff>
    </xdr:from>
    <xdr:to>
      <xdr:col>41</xdr:col>
      <xdr:colOff>213360</xdr:colOff>
      <xdr:row>13</xdr:row>
      <xdr:rowOff>137160</xdr:rowOff>
    </xdr:to>
    <xdr:graphicFrame macro="">
      <xdr:nvGraphicFramePr>
        <xdr:cNvPr id="3" name="Chart 2">
          <a:extLst>
            <a:ext uri="{FF2B5EF4-FFF2-40B4-BE49-F238E27FC236}">
              <a16:creationId xmlns:a16="http://schemas.microsoft.com/office/drawing/2014/main" id="{EC14E0D7-3FAA-3F1C-F1DB-3012EF0A9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655320</xdr:colOff>
      <xdr:row>1</xdr:row>
      <xdr:rowOff>3810</xdr:rowOff>
    </xdr:from>
    <xdr:to>
      <xdr:col>34</xdr:col>
      <xdr:colOff>853440</xdr:colOff>
      <xdr:row>15</xdr:row>
      <xdr:rowOff>7620</xdr:rowOff>
    </xdr:to>
    <xdr:graphicFrame macro="">
      <xdr:nvGraphicFramePr>
        <xdr:cNvPr id="4" name="Chart 3">
          <a:extLst>
            <a:ext uri="{FF2B5EF4-FFF2-40B4-BE49-F238E27FC236}">
              <a16:creationId xmlns:a16="http://schemas.microsoft.com/office/drawing/2014/main" id="{DA719528-A24C-C738-3CB3-0CCD33872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899160</xdr:colOff>
      <xdr:row>0</xdr:row>
      <xdr:rowOff>0</xdr:rowOff>
    </xdr:from>
    <xdr:to>
      <xdr:col>26</xdr:col>
      <xdr:colOff>312420</xdr:colOff>
      <xdr:row>15</xdr:row>
      <xdr:rowOff>0</xdr:rowOff>
    </xdr:to>
    <xdr:graphicFrame macro="">
      <xdr:nvGraphicFramePr>
        <xdr:cNvPr id="5" name="Chart 4">
          <a:extLst>
            <a:ext uri="{FF2B5EF4-FFF2-40B4-BE49-F238E27FC236}">
              <a16:creationId xmlns:a16="http://schemas.microsoft.com/office/drawing/2014/main" id="{0D07A3AC-FBF7-0491-D57E-3B477EAAD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358140</xdr:colOff>
      <xdr:row>0</xdr:row>
      <xdr:rowOff>3810</xdr:rowOff>
    </xdr:from>
    <xdr:to>
      <xdr:col>19</xdr:col>
      <xdr:colOff>1409700</xdr:colOff>
      <xdr:row>13</xdr:row>
      <xdr:rowOff>0</xdr:rowOff>
    </xdr:to>
    <xdr:graphicFrame macro="">
      <xdr:nvGraphicFramePr>
        <xdr:cNvPr id="7" name="Chart 6">
          <a:extLst>
            <a:ext uri="{FF2B5EF4-FFF2-40B4-BE49-F238E27FC236}">
              <a16:creationId xmlns:a16="http://schemas.microsoft.com/office/drawing/2014/main" id="{968CFEB0-9DA1-41D9-42EE-93147D5F6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0</xdr:row>
      <xdr:rowOff>140970</xdr:rowOff>
    </xdr:from>
    <xdr:to>
      <xdr:col>14</xdr:col>
      <xdr:colOff>281940</xdr:colOff>
      <xdr:row>17</xdr:row>
      <xdr:rowOff>144780</xdr:rowOff>
    </xdr:to>
    <xdr:graphicFrame macro="">
      <xdr:nvGraphicFramePr>
        <xdr:cNvPr id="9" name="Chart 8">
          <a:extLst>
            <a:ext uri="{FF2B5EF4-FFF2-40B4-BE49-F238E27FC236}">
              <a16:creationId xmlns:a16="http://schemas.microsoft.com/office/drawing/2014/main" id="{DBC606F0-3EC7-66E8-B0D9-D6C080E45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133351</xdr:colOff>
      <xdr:row>20</xdr:row>
      <xdr:rowOff>142876</xdr:rowOff>
    </xdr:from>
    <xdr:to>
      <xdr:col>12</xdr:col>
      <xdr:colOff>590551</xdr:colOff>
      <xdr:row>33</xdr:row>
      <xdr:rowOff>857251</xdr:rowOff>
    </xdr:to>
    <xdr:sp macro="" textlink="">
      <xdr:nvSpPr>
        <xdr:cNvPr id="28" name="Rectangle: Rounded Corners 27">
          <a:extLst>
            <a:ext uri="{FF2B5EF4-FFF2-40B4-BE49-F238E27FC236}">
              <a16:creationId xmlns:a16="http://schemas.microsoft.com/office/drawing/2014/main" id="{D4724E63-0591-4170-B5E5-FB6F3C2DC3D0}"/>
            </a:ext>
          </a:extLst>
        </xdr:cNvPr>
        <xdr:cNvSpPr/>
      </xdr:nvSpPr>
      <xdr:spPr>
        <a:xfrm>
          <a:off x="1962151" y="3762376"/>
          <a:ext cx="5943600" cy="3067050"/>
        </a:xfrm>
        <a:prstGeom prst="roundRect">
          <a:avLst/>
        </a:prstGeom>
        <a:solidFill>
          <a:schemeClr val="bg1"/>
        </a:solidFill>
        <a:ln>
          <a:noFill/>
        </a:ln>
        <a:effectLst>
          <a:outerShdw blurRad="50800" dist="50800" dir="5400000" algn="ctr" rotWithShape="0">
            <a:schemeClr val="tx2">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495300</xdr:colOff>
      <xdr:row>3</xdr:row>
      <xdr:rowOff>47625</xdr:rowOff>
    </xdr:from>
    <xdr:to>
      <xdr:col>22</xdr:col>
      <xdr:colOff>571500</xdr:colOff>
      <xdr:row>19</xdr:row>
      <xdr:rowOff>133350</xdr:rowOff>
    </xdr:to>
    <xdr:sp macro="" textlink="">
      <xdr:nvSpPr>
        <xdr:cNvPr id="6" name="Rectangle: Rounded Corners 5">
          <a:extLst>
            <a:ext uri="{FF2B5EF4-FFF2-40B4-BE49-F238E27FC236}">
              <a16:creationId xmlns:a16="http://schemas.microsoft.com/office/drawing/2014/main" id="{7F82BE10-5055-4DA8-8D82-7526637C981B}"/>
            </a:ext>
          </a:extLst>
        </xdr:cNvPr>
        <xdr:cNvSpPr/>
      </xdr:nvSpPr>
      <xdr:spPr>
        <a:xfrm>
          <a:off x="10248900" y="590550"/>
          <a:ext cx="3733800" cy="2981325"/>
        </a:xfrm>
        <a:prstGeom prst="roundRect">
          <a:avLst/>
        </a:prstGeom>
        <a:solidFill>
          <a:schemeClr val="bg1"/>
        </a:solidFill>
        <a:ln>
          <a:noFill/>
        </a:ln>
        <a:effectLst>
          <a:outerShdw blurRad="50800" dist="50800" dir="5400000" algn="ctr" rotWithShape="0">
            <a:schemeClr val="tx2">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647700</xdr:colOff>
      <xdr:row>0</xdr:row>
      <xdr:rowOff>9525</xdr:rowOff>
    </xdr:from>
    <xdr:to>
      <xdr:col>25</xdr:col>
      <xdr:colOff>2495550</xdr:colOff>
      <xdr:row>33</xdr:row>
      <xdr:rowOff>819150</xdr:rowOff>
    </xdr:to>
    <xdr:sp macro="" textlink="">
      <xdr:nvSpPr>
        <xdr:cNvPr id="3" name="Rectangle: Rounded Corners 2">
          <a:extLst>
            <a:ext uri="{FF2B5EF4-FFF2-40B4-BE49-F238E27FC236}">
              <a16:creationId xmlns:a16="http://schemas.microsoft.com/office/drawing/2014/main" id="{DA4E03D1-A2B4-9AB3-9BE2-5FF6B5AB94DE}"/>
            </a:ext>
          </a:extLst>
        </xdr:cNvPr>
        <xdr:cNvSpPr/>
      </xdr:nvSpPr>
      <xdr:spPr>
        <a:xfrm>
          <a:off x="14058900" y="9525"/>
          <a:ext cx="3733800" cy="6781800"/>
        </a:xfrm>
        <a:prstGeom prst="roundRect">
          <a:avLst/>
        </a:prstGeom>
        <a:solidFill>
          <a:schemeClr val="bg1"/>
        </a:solidFill>
        <a:ln>
          <a:noFill/>
        </a:ln>
        <a:effectLst>
          <a:outerShdw blurRad="50800" dist="50800" dir="5400000" algn="ctr" rotWithShape="0">
            <a:schemeClr val="tx2">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5</xdr:col>
      <xdr:colOff>601980</xdr:colOff>
      <xdr:row>3</xdr:row>
      <xdr:rowOff>76200</xdr:rowOff>
    </xdr:to>
    <xdr:sp macro="" textlink="">
      <xdr:nvSpPr>
        <xdr:cNvPr id="8" name="Rectangle 7">
          <a:extLst>
            <a:ext uri="{FF2B5EF4-FFF2-40B4-BE49-F238E27FC236}">
              <a16:creationId xmlns:a16="http://schemas.microsoft.com/office/drawing/2014/main" id="{E55F89E8-D243-5858-BFAA-087A91A20C14}"/>
            </a:ext>
          </a:extLst>
        </xdr:cNvPr>
        <xdr:cNvSpPr/>
      </xdr:nvSpPr>
      <xdr:spPr>
        <a:xfrm>
          <a:off x="0" y="0"/>
          <a:ext cx="3649980" cy="619125"/>
        </a:xfrm>
        <a:prstGeom prst="rect">
          <a:avLst/>
        </a:prstGeom>
        <a:solidFill>
          <a:schemeClr val="bg1"/>
        </a:solidFill>
        <a:ln>
          <a:noFill/>
        </a:ln>
        <a:effectLst>
          <a:outerShdw blurRad="50800" dist="38100" dir="5400000" algn="t" rotWithShape="0">
            <a:schemeClr val="tx2">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b="1">
            <a:solidFill>
              <a:schemeClr val="tx1">
                <a:lumMod val="85000"/>
                <a:lumOff val="15000"/>
              </a:schemeClr>
            </a:solidFill>
            <a:latin typeface="Arial Black" panose="020B0A04020102020204" pitchFamily="34" charset="0"/>
          </a:endParaRPr>
        </a:p>
      </xdr:txBody>
    </xdr:sp>
    <xdr:clientData/>
  </xdr:twoCellAnchor>
  <xdr:twoCellAnchor>
    <xdr:from>
      <xdr:col>0</xdr:col>
      <xdr:colOff>0</xdr:colOff>
      <xdr:row>3</xdr:row>
      <xdr:rowOff>121920</xdr:rowOff>
    </xdr:from>
    <xdr:to>
      <xdr:col>3</xdr:col>
      <xdr:colOff>22860</xdr:colOff>
      <xdr:row>7</xdr:row>
      <xdr:rowOff>152400</xdr:rowOff>
    </xdr:to>
    <xdr:sp macro="" textlink="">
      <xdr:nvSpPr>
        <xdr:cNvPr id="9" name="Rectangle 8">
          <a:extLst>
            <a:ext uri="{FF2B5EF4-FFF2-40B4-BE49-F238E27FC236}">
              <a16:creationId xmlns:a16="http://schemas.microsoft.com/office/drawing/2014/main" id="{861FAA18-FCCB-4587-8469-D00A5CD6BBC0}"/>
            </a:ext>
          </a:extLst>
        </xdr:cNvPr>
        <xdr:cNvSpPr/>
      </xdr:nvSpPr>
      <xdr:spPr>
        <a:xfrm>
          <a:off x="0" y="670560"/>
          <a:ext cx="1851660" cy="762000"/>
        </a:xfrm>
        <a:prstGeom prst="rect">
          <a:avLst/>
        </a:prstGeom>
        <a:solidFill>
          <a:schemeClr val="bg1"/>
        </a:solidFill>
        <a:ln>
          <a:noFill/>
        </a:ln>
        <a:effectLst>
          <a:outerShdw blurRad="50800" dist="38100" dir="5400000" algn="t" rotWithShape="0">
            <a:schemeClr val="tx2">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900" b="1">
              <a:solidFill>
                <a:schemeClr val="tx1">
                  <a:lumMod val="85000"/>
                  <a:lumOff val="15000"/>
                </a:schemeClr>
              </a:solidFill>
              <a:latin typeface="Arial Black" panose="020B0A04020102020204" pitchFamily="34" charset="0"/>
            </a:rPr>
            <a:t>AVERAGE OF TUITION</a:t>
          </a:r>
        </a:p>
      </xdr:txBody>
    </xdr:sp>
    <xdr:clientData/>
  </xdr:twoCellAnchor>
  <xdr:twoCellAnchor>
    <xdr:from>
      <xdr:col>0</xdr:col>
      <xdr:colOff>22860</xdr:colOff>
      <xdr:row>5</xdr:row>
      <xdr:rowOff>106680</xdr:rowOff>
    </xdr:from>
    <xdr:to>
      <xdr:col>2</xdr:col>
      <xdr:colOff>289560</xdr:colOff>
      <xdr:row>7</xdr:row>
      <xdr:rowOff>99060</xdr:rowOff>
    </xdr:to>
    <xdr:sp macro="" textlink="Pivot_Table!$A$37">
      <xdr:nvSpPr>
        <xdr:cNvPr id="10" name="TextBox 9">
          <a:extLst>
            <a:ext uri="{FF2B5EF4-FFF2-40B4-BE49-F238E27FC236}">
              <a16:creationId xmlns:a16="http://schemas.microsoft.com/office/drawing/2014/main" id="{CBD9D4E1-F0AF-B0F9-5A8D-7FEDB230F946}"/>
            </a:ext>
          </a:extLst>
        </xdr:cNvPr>
        <xdr:cNvSpPr txBox="1"/>
      </xdr:nvSpPr>
      <xdr:spPr>
        <a:xfrm>
          <a:off x="22860" y="1021080"/>
          <a:ext cx="1485900" cy="358140"/>
        </a:xfrm>
        <a:prstGeom prst="rect">
          <a:avLst/>
        </a:prstGeom>
        <a:solidFill>
          <a:schemeClr val="tx2">
            <a:lumMod val="50000"/>
            <a:lumOff val="50000"/>
          </a:schemeClr>
        </a:solidFill>
        <a:ln w="9525" cmpd="sng">
          <a:noFill/>
        </a:ln>
        <a:effectLst>
          <a:outerShdw blurRad="50800" dist="50800" dir="5400000" algn="ctr" rotWithShape="0">
            <a:schemeClr val="tx2">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BBCAE7-D3DA-4929-85EC-20FE8F8E78F3}" type="TxLink">
            <a:rPr lang="en-US" sz="1100" b="1" i="0" u="none" strike="noStrike">
              <a:solidFill>
                <a:srgbClr val="000000"/>
              </a:solidFill>
              <a:latin typeface="Aptos Narrow"/>
            </a:rPr>
            <a:pPr/>
            <a:t>$16,705.02</a:t>
          </a:fld>
          <a:endParaRPr lang="en-GB" sz="1400" b="1">
            <a:solidFill>
              <a:schemeClr val="accent4"/>
            </a:solidFill>
            <a:latin typeface="Arial Black" panose="020B0A04020102020204" pitchFamily="34" charset="0"/>
          </a:endParaRPr>
        </a:p>
      </xdr:txBody>
    </xdr:sp>
    <xdr:clientData/>
  </xdr:twoCellAnchor>
  <xdr:twoCellAnchor>
    <xdr:from>
      <xdr:col>0</xdr:col>
      <xdr:colOff>0</xdr:colOff>
      <xdr:row>9</xdr:row>
      <xdr:rowOff>60960</xdr:rowOff>
    </xdr:from>
    <xdr:to>
      <xdr:col>3</xdr:col>
      <xdr:colOff>22860</xdr:colOff>
      <xdr:row>13</xdr:row>
      <xdr:rowOff>91440</xdr:rowOff>
    </xdr:to>
    <xdr:sp macro="" textlink="">
      <xdr:nvSpPr>
        <xdr:cNvPr id="11" name="Rectangle 10">
          <a:extLst>
            <a:ext uri="{FF2B5EF4-FFF2-40B4-BE49-F238E27FC236}">
              <a16:creationId xmlns:a16="http://schemas.microsoft.com/office/drawing/2014/main" id="{E4823B9A-0C20-4137-845D-EB18A113C5E2}"/>
            </a:ext>
          </a:extLst>
        </xdr:cNvPr>
        <xdr:cNvSpPr/>
      </xdr:nvSpPr>
      <xdr:spPr>
        <a:xfrm>
          <a:off x="0" y="1661160"/>
          <a:ext cx="1851660" cy="741680"/>
        </a:xfrm>
        <a:prstGeom prst="rect">
          <a:avLst/>
        </a:prstGeom>
        <a:solidFill>
          <a:schemeClr val="bg1"/>
        </a:solidFill>
        <a:ln>
          <a:noFill/>
        </a:ln>
        <a:effectLst>
          <a:outerShdw blurRad="50800" dist="38100" dir="5400000" algn="t" rotWithShape="0">
            <a:schemeClr val="tx2">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900" b="1">
              <a:solidFill>
                <a:schemeClr val="tx1">
                  <a:lumMod val="85000"/>
                  <a:lumOff val="15000"/>
                </a:schemeClr>
              </a:solidFill>
              <a:latin typeface="Arial Black" panose="020B0A04020102020204" pitchFamily="34" charset="0"/>
            </a:rPr>
            <a:t>AVERAGE OF LIVING</a:t>
          </a:r>
          <a:r>
            <a:rPr lang="en-GB" sz="900" b="1" baseline="0">
              <a:solidFill>
                <a:schemeClr val="tx1">
                  <a:lumMod val="85000"/>
                  <a:lumOff val="15000"/>
                </a:schemeClr>
              </a:solidFill>
              <a:latin typeface="Arial Black" panose="020B0A04020102020204" pitchFamily="34" charset="0"/>
            </a:rPr>
            <a:t> C0ST</a:t>
          </a:r>
          <a:endParaRPr lang="en-GB" sz="900" b="1">
            <a:solidFill>
              <a:schemeClr val="tx1">
                <a:lumMod val="85000"/>
                <a:lumOff val="15000"/>
              </a:schemeClr>
            </a:solidFill>
            <a:latin typeface="Arial Black" panose="020B0A04020102020204" pitchFamily="34" charset="0"/>
          </a:endParaRPr>
        </a:p>
      </xdr:txBody>
    </xdr:sp>
    <xdr:clientData/>
  </xdr:twoCellAnchor>
  <xdr:twoCellAnchor>
    <xdr:from>
      <xdr:col>0</xdr:col>
      <xdr:colOff>33020</xdr:colOff>
      <xdr:row>14</xdr:row>
      <xdr:rowOff>149860</xdr:rowOff>
    </xdr:from>
    <xdr:to>
      <xdr:col>3</xdr:col>
      <xdr:colOff>55880</xdr:colOff>
      <xdr:row>19</xdr:row>
      <xdr:rowOff>2540</xdr:rowOff>
    </xdr:to>
    <xdr:sp macro="" textlink="">
      <xdr:nvSpPr>
        <xdr:cNvPr id="12" name="Rectangle 11">
          <a:extLst>
            <a:ext uri="{FF2B5EF4-FFF2-40B4-BE49-F238E27FC236}">
              <a16:creationId xmlns:a16="http://schemas.microsoft.com/office/drawing/2014/main" id="{BA26B4BB-2178-4336-AA2B-01D802394BC2}"/>
            </a:ext>
          </a:extLst>
        </xdr:cNvPr>
        <xdr:cNvSpPr/>
      </xdr:nvSpPr>
      <xdr:spPr>
        <a:xfrm>
          <a:off x="33020" y="2639060"/>
          <a:ext cx="1851660" cy="741680"/>
        </a:xfrm>
        <a:prstGeom prst="rect">
          <a:avLst/>
        </a:prstGeom>
        <a:solidFill>
          <a:schemeClr val="bg1"/>
        </a:solidFill>
        <a:ln>
          <a:noFill/>
        </a:ln>
        <a:effectLst>
          <a:outerShdw blurRad="50800" dist="38100" dir="5400000" algn="t" rotWithShape="0">
            <a:schemeClr val="tx2">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900" b="1">
              <a:solidFill>
                <a:schemeClr val="tx1">
                  <a:lumMod val="85000"/>
                  <a:lumOff val="15000"/>
                </a:schemeClr>
              </a:solidFill>
              <a:latin typeface="Arial Black" panose="020B0A04020102020204" pitchFamily="34" charset="0"/>
            </a:rPr>
            <a:t>AVERAGE OF RENT</a:t>
          </a:r>
        </a:p>
      </xdr:txBody>
    </xdr:sp>
    <xdr:clientData/>
  </xdr:twoCellAnchor>
  <xdr:twoCellAnchor>
    <xdr:from>
      <xdr:col>0</xdr:col>
      <xdr:colOff>25400</xdr:colOff>
      <xdr:row>20</xdr:row>
      <xdr:rowOff>73660</xdr:rowOff>
    </xdr:from>
    <xdr:to>
      <xdr:col>3</xdr:col>
      <xdr:colOff>63500</xdr:colOff>
      <xdr:row>24</xdr:row>
      <xdr:rowOff>99060</xdr:rowOff>
    </xdr:to>
    <xdr:sp macro="" textlink="">
      <xdr:nvSpPr>
        <xdr:cNvPr id="13" name="Rectangle 12">
          <a:extLst>
            <a:ext uri="{FF2B5EF4-FFF2-40B4-BE49-F238E27FC236}">
              <a16:creationId xmlns:a16="http://schemas.microsoft.com/office/drawing/2014/main" id="{7B80D760-9478-49ED-AE92-94027F4DBD3A}"/>
            </a:ext>
          </a:extLst>
        </xdr:cNvPr>
        <xdr:cNvSpPr/>
      </xdr:nvSpPr>
      <xdr:spPr>
        <a:xfrm>
          <a:off x="25400" y="3629660"/>
          <a:ext cx="1866900" cy="736600"/>
        </a:xfrm>
        <a:prstGeom prst="rect">
          <a:avLst/>
        </a:prstGeom>
        <a:solidFill>
          <a:schemeClr val="bg1"/>
        </a:solidFill>
        <a:ln>
          <a:noFill/>
        </a:ln>
        <a:effectLst>
          <a:outerShdw blurRad="50800" dist="38100" dir="5400000" algn="t" rotWithShape="0">
            <a:schemeClr val="tx2">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900" b="1">
              <a:solidFill>
                <a:schemeClr val="tx1">
                  <a:lumMod val="85000"/>
                  <a:lumOff val="15000"/>
                </a:schemeClr>
              </a:solidFill>
              <a:latin typeface="Arial Black" panose="020B0A04020102020204" pitchFamily="34" charset="0"/>
            </a:rPr>
            <a:t>AVERAGE OF VISA</a:t>
          </a:r>
          <a:r>
            <a:rPr lang="en-GB" sz="900" b="1" baseline="0">
              <a:solidFill>
                <a:schemeClr val="tx1">
                  <a:lumMod val="85000"/>
                  <a:lumOff val="15000"/>
                </a:schemeClr>
              </a:solidFill>
              <a:latin typeface="Arial Black" panose="020B0A04020102020204" pitchFamily="34" charset="0"/>
            </a:rPr>
            <a:t> FEE</a:t>
          </a:r>
          <a:endParaRPr lang="en-GB" sz="900" b="1">
            <a:solidFill>
              <a:schemeClr val="tx1">
                <a:lumMod val="85000"/>
                <a:lumOff val="15000"/>
              </a:schemeClr>
            </a:solidFill>
            <a:latin typeface="Arial Black" panose="020B0A04020102020204" pitchFamily="34" charset="0"/>
          </a:endParaRPr>
        </a:p>
      </xdr:txBody>
    </xdr:sp>
    <xdr:clientData/>
  </xdr:twoCellAnchor>
  <xdr:twoCellAnchor>
    <xdr:from>
      <xdr:col>0</xdr:col>
      <xdr:colOff>0</xdr:colOff>
      <xdr:row>26</xdr:row>
      <xdr:rowOff>60960</xdr:rowOff>
    </xdr:from>
    <xdr:to>
      <xdr:col>3</xdr:col>
      <xdr:colOff>30480</xdr:colOff>
      <xdr:row>30</xdr:row>
      <xdr:rowOff>91440</xdr:rowOff>
    </xdr:to>
    <xdr:sp macro="" textlink="">
      <xdr:nvSpPr>
        <xdr:cNvPr id="14" name="Rectangle 13">
          <a:extLst>
            <a:ext uri="{FF2B5EF4-FFF2-40B4-BE49-F238E27FC236}">
              <a16:creationId xmlns:a16="http://schemas.microsoft.com/office/drawing/2014/main" id="{08002C8B-A129-40D4-ADB0-DA2730C0E7B2}"/>
            </a:ext>
          </a:extLst>
        </xdr:cNvPr>
        <xdr:cNvSpPr/>
      </xdr:nvSpPr>
      <xdr:spPr>
        <a:xfrm>
          <a:off x="0" y="4683760"/>
          <a:ext cx="1859280" cy="741680"/>
        </a:xfrm>
        <a:prstGeom prst="rect">
          <a:avLst/>
        </a:prstGeom>
        <a:solidFill>
          <a:schemeClr val="bg1"/>
        </a:solidFill>
        <a:ln>
          <a:noFill/>
        </a:ln>
        <a:effectLst>
          <a:outerShdw blurRad="50800" dist="38100" dir="5400000" algn="t" rotWithShape="0">
            <a:schemeClr val="tx2">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900" b="1">
              <a:solidFill>
                <a:schemeClr val="tx1">
                  <a:lumMod val="85000"/>
                  <a:lumOff val="15000"/>
                </a:schemeClr>
              </a:solidFill>
              <a:latin typeface="Arial Black" panose="020B0A04020102020204" pitchFamily="34" charset="0"/>
            </a:rPr>
            <a:t>AVERAGE OF INSURANCE</a:t>
          </a:r>
        </a:p>
      </xdr:txBody>
    </xdr:sp>
    <xdr:clientData/>
  </xdr:twoCellAnchor>
  <xdr:twoCellAnchor>
    <xdr:from>
      <xdr:col>0</xdr:col>
      <xdr:colOff>17780</xdr:colOff>
      <xdr:row>11</xdr:row>
      <xdr:rowOff>86360</xdr:rowOff>
    </xdr:from>
    <xdr:to>
      <xdr:col>2</xdr:col>
      <xdr:colOff>284480</xdr:colOff>
      <xdr:row>13</xdr:row>
      <xdr:rowOff>22860</xdr:rowOff>
    </xdr:to>
    <xdr:sp macro="" textlink="Pivot_Table!$A$41">
      <xdr:nvSpPr>
        <xdr:cNvPr id="15" name="TextBox 14">
          <a:extLst>
            <a:ext uri="{FF2B5EF4-FFF2-40B4-BE49-F238E27FC236}">
              <a16:creationId xmlns:a16="http://schemas.microsoft.com/office/drawing/2014/main" id="{B273C4E5-CD0B-4A40-A280-16FA802DFCBF}"/>
            </a:ext>
          </a:extLst>
        </xdr:cNvPr>
        <xdr:cNvSpPr txBox="1"/>
      </xdr:nvSpPr>
      <xdr:spPr>
        <a:xfrm>
          <a:off x="17780" y="2042160"/>
          <a:ext cx="1485900" cy="292100"/>
        </a:xfrm>
        <a:prstGeom prst="rect">
          <a:avLst/>
        </a:prstGeom>
        <a:solidFill>
          <a:schemeClr val="tx2">
            <a:lumMod val="50000"/>
            <a:lumOff val="50000"/>
          </a:schemeClr>
        </a:solidFill>
        <a:ln w="9525" cmpd="sng">
          <a:noFill/>
        </a:ln>
        <a:effectLst>
          <a:outerShdw blurRad="50800" dist="50800" dir="5400000" algn="ctr" rotWithShape="0">
            <a:schemeClr val="tx2">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FA931F-BA3A-4F66-86B4-1F7BF1AB2B2A}" type="TxLink">
            <a:rPr lang="en-US" sz="1100" b="1" i="0" u="none" strike="noStrike">
              <a:solidFill>
                <a:srgbClr val="000000"/>
              </a:solidFill>
              <a:latin typeface="Aptos Narrow"/>
            </a:rPr>
            <a:pPr/>
            <a:t>64.44</a:t>
          </a:fld>
          <a:endParaRPr lang="en-GB" sz="1400" b="1">
            <a:solidFill>
              <a:schemeClr val="accent4"/>
            </a:solidFill>
            <a:latin typeface="Arial Black" panose="020B0A04020102020204" pitchFamily="34" charset="0"/>
          </a:endParaRPr>
        </a:p>
      </xdr:txBody>
    </xdr:sp>
    <xdr:clientData/>
  </xdr:twoCellAnchor>
  <xdr:twoCellAnchor>
    <xdr:from>
      <xdr:col>0</xdr:col>
      <xdr:colOff>20320</xdr:colOff>
      <xdr:row>16</xdr:row>
      <xdr:rowOff>109220</xdr:rowOff>
    </xdr:from>
    <xdr:to>
      <xdr:col>2</xdr:col>
      <xdr:colOff>287020</xdr:colOff>
      <xdr:row>18</xdr:row>
      <xdr:rowOff>101600</xdr:rowOff>
    </xdr:to>
    <xdr:sp macro="" textlink="Pivot_Table!$A$45">
      <xdr:nvSpPr>
        <xdr:cNvPr id="16" name="TextBox 15">
          <a:extLst>
            <a:ext uri="{FF2B5EF4-FFF2-40B4-BE49-F238E27FC236}">
              <a16:creationId xmlns:a16="http://schemas.microsoft.com/office/drawing/2014/main" id="{06E1163B-3D58-46DE-A24C-9A473F0F09FE}"/>
            </a:ext>
          </a:extLst>
        </xdr:cNvPr>
        <xdr:cNvSpPr txBox="1"/>
      </xdr:nvSpPr>
      <xdr:spPr>
        <a:xfrm>
          <a:off x="20320" y="2954020"/>
          <a:ext cx="1485900" cy="347980"/>
        </a:xfrm>
        <a:prstGeom prst="rect">
          <a:avLst/>
        </a:prstGeom>
        <a:solidFill>
          <a:schemeClr val="tx2">
            <a:lumMod val="50000"/>
            <a:lumOff val="50000"/>
          </a:schemeClr>
        </a:solidFill>
        <a:ln w="9525" cmpd="sng">
          <a:noFill/>
        </a:ln>
        <a:effectLst>
          <a:outerShdw blurRad="50800" dist="50800" dir="5400000" algn="ctr" rotWithShape="0">
            <a:schemeClr val="tx2">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BC3939-AFF1-492D-8B44-B1BE22CF8AB1}" type="TxLink">
            <a:rPr lang="en-US" sz="1100" b="1" i="0" u="none" strike="noStrike">
              <a:solidFill>
                <a:srgbClr val="000000"/>
              </a:solidFill>
              <a:latin typeface="Aptos Narrow"/>
            </a:rPr>
            <a:pPr/>
            <a:t>$969.21</a:t>
          </a:fld>
          <a:endParaRPr lang="en-GB" sz="1400" b="1">
            <a:solidFill>
              <a:schemeClr val="accent4"/>
            </a:solidFill>
            <a:latin typeface="Arial Black" panose="020B0A04020102020204" pitchFamily="34" charset="0"/>
          </a:endParaRPr>
        </a:p>
      </xdr:txBody>
    </xdr:sp>
    <xdr:clientData/>
  </xdr:twoCellAnchor>
  <xdr:twoCellAnchor>
    <xdr:from>
      <xdr:col>0</xdr:col>
      <xdr:colOff>50800</xdr:colOff>
      <xdr:row>22</xdr:row>
      <xdr:rowOff>111760</xdr:rowOff>
    </xdr:from>
    <xdr:to>
      <xdr:col>2</xdr:col>
      <xdr:colOff>317500</xdr:colOff>
      <xdr:row>24</xdr:row>
      <xdr:rowOff>25400</xdr:rowOff>
    </xdr:to>
    <xdr:sp macro="" textlink="Pivot_Table!$A$49">
      <xdr:nvSpPr>
        <xdr:cNvPr id="17" name="TextBox 16">
          <a:extLst>
            <a:ext uri="{FF2B5EF4-FFF2-40B4-BE49-F238E27FC236}">
              <a16:creationId xmlns:a16="http://schemas.microsoft.com/office/drawing/2014/main" id="{3E92B91B-54F2-4ECB-BB4B-979991D85256}"/>
            </a:ext>
          </a:extLst>
        </xdr:cNvPr>
        <xdr:cNvSpPr txBox="1"/>
      </xdr:nvSpPr>
      <xdr:spPr>
        <a:xfrm>
          <a:off x="50800" y="4023360"/>
          <a:ext cx="1485900" cy="269240"/>
        </a:xfrm>
        <a:prstGeom prst="rect">
          <a:avLst/>
        </a:prstGeom>
        <a:solidFill>
          <a:schemeClr val="tx2">
            <a:lumMod val="50000"/>
            <a:lumOff val="50000"/>
          </a:schemeClr>
        </a:solidFill>
        <a:ln w="9525" cmpd="sng">
          <a:noFill/>
        </a:ln>
        <a:effectLst>
          <a:outerShdw blurRad="50800" dist="50800" dir="5400000" algn="ctr" rotWithShape="0">
            <a:schemeClr val="tx2">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F836F9-F452-45C2-9776-135E1CCB4C12}" type="TxLink">
            <a:rPr lang="en-US" sz="1100" b="1" i="0" u="none" strike="noStrike">
              <a:solidFill>
                <a:srgbClr val="000000"/>
              </a:solidFill>
              <a:latin typeface="Aptos Narrow"/>
            </a:rPr>
            <a:pPr/>
            <a:t>$211.40</a:t>
          </a:fld>
          <a:endParaRPr lang="en-GB" sz="1400" b="1">
            <a:solidFill>
              <a:schemeClr val="accent4"/>
            </a:solidFill>
            <a:latin typeface="Arial Black" panose="020B0A04020102020204" pitchFamily="34" charset="0"/>
          </a:endParaRPr>
        </a:p>
      </xdr:txBody>
    </xdr:sp>
    <xdr:clientData/>
  </xdr:twoCellAnchor>
  <xdr:twoCellAnchor>
    <xdr:from>
      <xdr:col>0</xdr:col>
      <xdr:colOff>33020</xdr:colOff>
      <xdr:row>28</xdr:row>
      <xdr:rowOff>81280</xdr:rowOff>
    </xdr:from>
    <xdr:to>
      <xdr:col>2</xdr:col>
      <xdr:colOff>299720</xdr:colOff>
      <xdr:row>30</xdr:row>
      <xdr:rowOff>12700</xdr:rowOff>
    </xdr:to>
    <xdr:sp macro="" textlink="">
      <xdr:nvSpPr>
        <xdr:cNvPr id="18" name="TextBox 17">
          <a:extLst>
            <a:ext uri="{FF2B5EF4-FFF2-40B4-BE49-F238E27FC236}">
              <a16:creationId xmlns:a16="http://schemas.microsoft.com/office/drawing/2014/main" id="{0FF8B85B-8E79-4489-8390-6AFF033E11B1}"/>
            </a:ext>
          </a:extLst>
        </xdr:cNvPr>
        <xdr:cNvSpPr txBox="1"/>
      </xdr:nvSpPr>
      <xdr:spPr>
        <a:xfrm>
          <a:off x="33020" y="5059680"/>
          <a:ext cx="1485900" cy="287020"/>
        </a:xfrm>
        <a:prstGeom prst="rect">
          <a:avLst/>
        </a:prstGeom>
        <a:solidFill>
          <a:schemeClr val="tx2">
            <a:lumMod val="50000"/>
            <a:lumOff val="50000"/>
          </a:schemeClr>
        </a:solidFill>
        <a:ln w="9525" cmpd="sng">
          <a:noFill/>
        </a:ln>
        <a:effectLst>
          <a:outerShdw blurRad="50800" dist="50800" dir="5400000" algn="ctr" rotWithShape="0">
            <a:schemeClr val="tx2">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$700.08</a:t>
          </a:r>
        </a:p>
      </xdr:txBody>
    </xdr:sp>
    <xdr:clientData/>
  </xdr:twoCellAnchor>
  <xdr:twoCellAnchor editAs="oneCell">
    <xdr:from>
      <xdr:col>10</xdr:col>
      <xdr:colOff>457200</xdr:colOff>
      <xdr:row>0</xdr:row>
      <xdr:rowOff>1</xdr:rowOff>
    </xdr:from>
    <xdr:to>
      <xdr:col>12</xdr:col>
      <xdr:colOff>533400</xdr:colOff>
      <xdr:row>3</xdr:row>
      <xdr:rowOff>76200</xdr:rowOff>
    </xdr:to>
    <mc:AlternateContent xmlns:mc="http://schemas.openxmlformats.org/markup-compatibility/2006" xmlns:a14="http://schemas.microsoft.com/office/drawing/2010/main">
      <mc:Choice Requires="a14">
        <xdr:graphicFrame macro="">
          <xdr:nvGraphicFramePr>
            <xdr:cNvPr id="19" name="University 2">
              <a:extLst>
                <a:ext uri="{FF2B5EF4-FFF2-40B4-BE49-F238E27FC236}">
                  <a16:creationId xmlns:a16="http://schemas.microsoft.com/office/drawing/2014/main" id="{2E9AEC6D-D951-4A83-BCF3-670301313FF0}"/>
                </a:ext>
              </a:extLst>
            </xdr:cNvPr>
            <xdr:cNvGraphicFramePr/>
          </xdr:nvGraphicFramePr>
          <xdr:xfrm>
            <a:off x="0" y="0"/>
            <a:ext cx="0" cy="0"/>
          </xdr:xfrm>
          <a:graphic>
            <a:graphicData uri="http://schemas.microsoft.com/office/drawing/2010/slicer">
              <sle:slicer xmlns:sle="http://schemas.microsoft.com/office/drawing/2010/slicer" name="University 2"/>
            </a:graphicData>
          </a:graphic>
        </xdr:graphicFrame>
      </mc:Choice>
      <mc:Fallback xmlns="">
        <xdr:sp macro="" textlink="">
          <xdr:nvSpPr>
            <xdr:cNvPr id="0" name=""/>
            <xdr:cNvSpPr>
              <a:spLocks noTextEdit="1"/>
            </xdr:cNvSpPr>
          </xdr:nvSpPr>
          <xdr:spPr>
            <a:xfrm>
              <a:off x="6553200" y="1"/>
              <a:ext cx="1295400" cy="6191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571500</xdr:colOff>
      <xdr:row>0</xdr:row>
      <xdr:rowOff>0</xdr:rowOff>
    </xdr:from>
    <xdr:to>
      <xdr:col>15</xdr:col>
      <xdr:colOff>38100</xdr:colOff>
      <xdr:row>3</xdr:row>
      <xdr:rowOff>83820</xdr:rowOff>
    </xdr:to>
    <mc:AlternateContent xmlns:mc="http://schemas.openxmlformats.org/markup-compatibility/2006" xmlns:a14="http://schemas.microsoft.com/office/drawing/2010/main">
      <mc:Choice Requires="a14">
        <xdr:graphicFrame macro="">
          <xdr:nvGraphicFramePr>
            <xdr:cNvPr id="20" name="Level 2">
              <a:extLst>
                <a:ext uri="{FF2B5EF4-FFF2-40B4-BE49-F238E27FC236}">
                  <a16:creationId xmlns:a16="http://schemas.microsoft.com/office/drawing/2014/main" id="{8447EF5B-0883-4E70-BC1E-D37ED9EF7F10}"/>
                </a:ext>
              </a:extLst>
            </xdr:cNvPr>
            <xdr:cNvGraphicFramePr/>
          </xdr:nvGraphicFramePr>
          <xdr:xfrm>
            <a:off x="0" y="0"/>
            <a:ext cx="0" cy="0"/>
          </xdr:xfrm>
          <a:graphic>
            <a:graphicData uri="http://schemas.microsoft.com/office/drawing/2010/slicer">
              <sle:slicer xmlns:sle="http://schemas.microsoft.com/office/drawing/2010/slicer" name="Level 2"/>
            </a:graphicData>
          </a:graphic>
        </xdr:graphicFrame>
      </mc:Choice>
      <mc:Fallback xmlns="">
        <xdr:sp macro="" textlink="">
          <xdr:nvSpPr>
            <xdr:cNvPr id="0" name=""/>
            <xdr:cNvSpPr>
              <a:spLocks noTextEdit="1"/>
            </xdr:cNvSpPr>
          </xdr:nvSpPr>
          <xdr:spPr>
            <a:xfrm>
              <a:off x="7886700" y="0"/>
              <a:ext cx="1295400" cy="6267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91440</xdr:colOff>
      <xdr:row>0</xdr:row>
      <xdr:rowOff>7620</xdr:rowOff>
    </xdr:from>
    <xdr:to>
      <xdr:col>17</xdr:col>
      <xdr:colOff>182880</xdr:colOff>
      <xdr:row>3</xdr:row>
      <xdr:rowOff>68580</xdr:rowOff>
    </xdr:to>
    <mc:AlternateContent xmlns:mc="http://schemas.openxmlformats.org/markup-compatibility/2006" xmlns:a14="http://schemas.microsoft.com/office/drawing/2010/main">
      <mc:Choice Requires="a14">
        <xdr:graphicFrame macro="">
          <xdr:nvGraphicFramePr>
            <xdr:cNvPr id="21" name="Program 2">
              <a:extLst>
                <a:ext uri="{FF2B5EF4-FFF2-40B4-BE49-F238E27FC236}">
                  <a16:creationId xmlns:a16="http://schemas.microsoft.com/office/drawing/2014/main" id="{5B734B02-BA3E-43C7-9839-542506A28D9A}"/>
                </a:ext>
              </a:extLst>
            </xdr:cNvPr>
            <xdr:cNvGraphicFramePr/>
          </xdr:nvGraphicFramePr>
          <xdr:xfrm>
            <a:off x="0" y="0"/>
            <a:ext cx="0" cy="0"/>
          </xdr:xfrm>
          <a:graphic>
            <a:graphicData uri="http://schemas.microsoft.com/office/drawing/2010/slicer">
              <sle:slicer xmlns:sle="http://schemas.microsoft.com/office/drawing/2010/slicer" name="Program 2"/>
            </a:graphicData>
          </a:graphic>
        </xdr:graphicFrame>
      </mc:Choice>
      <mc:Fallback xmlns="">
        <xdr:sp macro="" textlink="">
          <xdr:nvSpPr>
            <xdr:cNvPr id="0" name=""/>
            <xdr:cNvSpPr>
              <a:spLocks noTextEdit="1"/>
            </xdr:cNvSpPr>
          </xdr:nvSpPr>
          <xdr:spPr>
            <a:xfrm>
              <a:off x="9235440" y="7620"/>
              <a:ext cx="1310640" cy="6038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236220</xdr:colOff>
      <xdr:row>0</xdr:row>
      <xdr:rowOff>0</xdr:rowOff>
    </xdr:from>
    <xdr:to>
      <xdr:col>10</xdr:col>
      <xdr:colOff>419100</xdr:colOff>
      <xdr:row>3</xdr:row>
      <xdr:rowOff>83820</xdr:rowOff>
    </xdr:to>
    <mc:AlternateContent xmlns:mc="http://schemas.openxmlformats.org/markup-compatibility/2006" xmlns:a14="http://schemas.microsoft.com/office/drawing/2010/main">
      <mc:Choice Requires="a14">
        <xdr:graphicFrame macro="">
          <xdr:nvGraphicFramePr>
            <xdr:cNvPr id="23" name="City 1">
              <a:extLst>
                <a:ext uri="{FF2B5EF4-FFF2-40B4-BE49-F238E27FC236}">
                  <a16:creationId xmlns:a16="http://schemas.microsoft.com/office/drawing/2014/main" id="{BB658009-6FE7-41F7-B827-A27D695182E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113020" y="0"/>
              <a:ext cx="1402080" cy="6267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5</xdr:col>
      <xdr:colOff>541020</xdr:colOff>
      <xdr:row>3</xdr:row>
      <xdr:rowOff>30480</xdr:rowOff>
    </xdr:to>
    <xdr:sp macro="" textlink="">
      <xdr:nvSpPr>
        <xdr:cNvPr id="32" name="TextBox 31">
          <a:extLst>
            <a:ext uri="{FF2B5EF4-FFF2-40B4-BE49-F238E27FC236}">
              <a16:creationId xmlns:a16="http://schemas.microsoft.com/office/drawing/2014/main" id="{0C1CA530-9382-55A7-62DC-CC465B714CB5}"/>
            </a:ext>
          </a:extLst>
        </xdr:cNvPr>
        <xdr:cNvSpPr txBox="1"/>
      </xdr:nvSpPr>
      <xdr:spPr>
        <a:xfrm>
          <a:off x="0" y="0"/>
          <a:ext cx="3589020" cy="573405"/>
        </a:xfrm>
        <a:prstGeom prst="rect">
          <a:avLst/>
        </a:prstGeom>
        <a:noFill/>
        <a:ln w="9525" cmpd="sng">
          <a:solidFill>
            <a:schemeClr val="lt1">
              <a:shade val="50000"/>
            </a:schemeClr>
          </a:solidFill>
        </a:ln>
        <a:effectLst>
          <a:outerShdw blurRad="50800" dist="50800" dir="5400000" algn="ctr" rotWithShape="0">
            <a:schemeClr val="tx2">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Black" panose="020B0A04020102020204" pitchFamily="34" charset="0"/>
            </a:rPr>
            <a:t>INTERNATIONAL EDUCATION COST</a:t>
          </a:r>
        </a:p>
      </xdr:txBody>
    </xdr:sp>
    <xdr:clientData/>
  </xdr:twoCellAnchor>
  <xdr:twoCellAnchor editAs="oneCell">
    <xdr:from>
      <xdr:col>6</xdr:col>
      <xdr:colOff>15240</xdr:colOff>
      <xdr:row>0</xdr:row>
      <xdr:rowOff>7620</xdr:rowOff>
    </xdr:from>
    <xdr:to>
      <xdr:col>8</xdr:col>
      <xdr:colOff>205740</xdr:colOff>
      <xdr:row>3</xdr:row>
      <xdr:rowOff>83820</xdr:rowOff>
    </xdr:to>
    <mc:AlternateContent xmlns:mc="http://schemas.openxmlformats.org/markup-compatibility/2006" xmlns:a14="http://schemas.microsoft.com/office/drawing/2010/main">
      <mc:Choice Requires="a14">
        <xdr:graphicFrame macro="">
          <xdr:nvGraphicFramePr>
            <xdr:cNvPr id="35" name="Country 4">
              <a:extLst>
                <a:ext uri="{FF2B5EF4-FFF2-40B4-BE49-F238E27FC236}">
                  <a16:creationId xmlns:a16="http://schemas.microsoft.com/office/drawing/2014/main" id="{BA5E7C61-F54D-4942-BEF5-66E7F40C1989}"/>
                </a:ext>
              </a:extLst>
            </xdr:cNvPr>
            <xdr:cNvGraphicFramePr/>
          </xdr:nvGraphicFramePr>
          <xdr:xfrm>
            <a:off x="0" y="0"/>
            <a:ext cx="0" cy="0"/>
          </xdr:xfrm>
          <a:graphic>
            <a:graphicData uri="http://schemas.microsoft.com/office/drawing/2010/slicer">
              <sle:slicer xmlns:sle="http://schemas.microsoft.com/office/drawing/2010/slicer" name="Country 4"/>
            </a:graphicData>
          </a:graphic>
        </xdr:graphicFrame>
      </mc:Choice>
      <mc:Fallback xmlns="">
        <xdr:sp macro="" textlink="">
          <xdr:nvSpPr>
            <xdr:cNvPr id="0" name=""/>
            <xdr:cNvSpPr>
              <a:spLocks noTextEdit="1"/>
            </xdr:cNvSpPr>
          </xdr:nvSpPr>
          <xdr:spPr>
            <a:xfrm>
              <a:off x="3672840" y="7620"/>
              <a:ext cx="1409700" cy="619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25400</xdr:colOff>
      <xdr:row>33</xdr:row>
      <xdr:rowOff>38100</xdr:rowOff>
    </xdr:from>
    <xdr:to>
      <xdr:col>3</xdr:col>
      <xdr:colOff>63500</xdr:colOff>
      <xdr:row>33</xdr:row>
      <xdr:rowOff>771525</xdr:rowOff>
    </xdr:to>
    <xdr:sp macro="" textlink="">
      <xdr:nvSpPr>
        <xdr:cNvPr id="51" name="Rectangle 50">
          <a:extLst>
            <a:ext uri="{FF2B5EF4-FFF2-40B4-BE49-F238E27FC236}">
              <a16:creationId xmlns:a16="http://schemas.microsoft.com/office/drawing/2014/main" id="{E7163049-9247-4025-AB4D-2950E1C6160C}"/>
            </a:ext>
          </a:extLst>
        </xdr:cNvPr>
        <xdr:cNvSpPr/>
      </xdr:nvSpPr>
      <xdr:spPr>
        <a:xfrm>
          <a:off x="25400" y="5905500"/>
          <a:ext cx="1866900" cy="733425"/>
        </a:xfrm>
        <a:prstGeom prst="rect">
          <a:avLst/>
        </a:prstGeom>
        <a:solidFill>
          <a:schemeClr val="bg1"/>
        </a:solidFill>
        <a:ln>
          <a:noFill/>
        </a:ln>
        <a:effectLst>
          <a:outerShdw blurRad="50800" dist="38100" dir="5400000" algn="t" rotWithShape="0">
            <a:schemeClr val="tx2">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900" b="1">
              <a:solidFill>
                <a:schemeClr val="tx1">
                  <a:lumMod val="85000"/>
                  <a:lumOff val="15000"/>
                </a:schemeClr>
              </a:solidFill>
              <a:latin typeface="Arial Black" panose="020B0A04020102020204" pitchFamily="34" charset="0"/>
            </a:rPr>
            <a:t>AVERAGE</a:t>
          </a:r>
          <a:r>
            <a:rPr lang="en-GB" sz="900" b="1" baseline="0">
              <a:solidFill>
                <a:schemeClr val="tx1">
                  <a:lumMod val="85000"/>
                  <a:lumOff val="15000"/>
                </a:schemeClr>
              </a:solidFill>
              <a:latin typeface="Arial Black" panose="020B0A04020102020204" pitchFamily="34" charset="0"/>
            </a:rPr>
            <a:t> OF TOTAL COST</a:t>
          </a:r>
          <a:endParaRPr lang="en-GB" sz="900" b="1">
            <a:solidFill>
              <a:schemeClr val="tx1">
                <a:lumMod val="85000"/>
                <a:lumOff val="15000"/>
              </a:schemeClr>
            </a:solidFill>
            <a:latin typeface="Arial Black" panose="020B0A04020102020204" pitchFamily="34" charset="0"/>
          </a:endParaRPr>
        </a:p>
      </xdr:txBody>
    </xdr:sp>
    <xdr:clientData/>
  </xdr:twoCellAnchor>
  <xdr:twoCellAnchor>
    <xdr:from>
      <xdr:col>0</xdr:col>
      <xdr:colOff>63500</xdr:colOff>
      <xdr:row>33</xdr:row>
      <xdr:rowOff>406400</xdr:rowOff>
    </xdr:from>
    <xdr:to>
      <xdr:col>2</xdr:col>
      <xdr:colOff>330200</xdr:colOff>
      <xdr:row>33</xdr:row>
      <xdr:rowOff>693420</xdr:rowOff>
    </xdr:to>
    <xdr:sp macro="" textlink="Pivot_Table!$C$52">
      <xdr:nvSpPr>
        <xdr:cNvPr id="52" name="TextBox 51">
          <a:extLst>
            <a:ext uri="{FF2B5EF4-FFF2-40B4-BE49-F238E27FC236}">
              <a16:creationId xmlns:a16="http://schemas.microsoft.com/office/drawing/2014/main" id="{34ACFBE0-070E-4E62-BD1E-85E11CA3C759}"/>
            </a:ext>
          </a:extLst>
        </xdr:cNvPr>
        <xdr:cNvSpPr txBox="1"/>
      </xdr:nvSpPr>
      <xdr:spPr>
        <a:xfrm>
          <a:off x="63500" y="6273800"/>
          <a:ext cx="1485900" cy="287020"/>
        </a:xfrm>
        <a:prstGeom prst="rect">
          <a:avLst/>
        </a:prstGeom>
        <a:solidFill>
          <a:schemeClr val="tx2">
            <a:lumMod val="50000"/>
            <a:lumOff val="50000"/>
          </a:schemeClr>
        </a:solidFill>
        <a:ln w="9525" cmpd="sng">
          <a:noFill/>
        </a:ln>
        <a:effectLst>
          <a:outerShdw blurRad="50800" dist="50800" dir="5400000" algn="ctr" rotWithShape="0">
            <a:schemeClr val="tx2">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33D1C0-472C-47AF-AE77-39715F694FC2}" type="TxLink">
            <a:rPr lang="en-US" sz="1100" b="1" i="0" u="none" strike="noStrike">
              <a:solidFill>
                <a:srgbClr val="000000"/>
              </a:solidFill>
              <a:latin typeface="Aptos Narrow"/>
            </a:rPr>
            <a:t> $18,585.70 </a:t>
          </a:fld>
          <a:endParaRPr lang="en-GB" sz="1400" b="1">
            <a:solidFill>
              <a:schemeClr val="tx1"/>
            </a:solidFill>
            <a:latin typeface="Arial Black" panose="020B0A04020102020204" pitchFamily="34" charset="0"/>
          </a:endParaRPr>
        </a:p>
      </xdr:txBody>
    </xdr:sp>
    <xdr:clientData/>
  </xdr:twoCellAnchor>
  <xdr:twoCellAnchor>
    <xdr:from>
      <xdr:col>23</xdr:col>
      <xdr:colOff>66675</xdr:colOff>
      <xdr:row>1</xdr:row>
      <xdr:rowOff>114300</xdr:rowOff>
    </xdr:from>
    <xdr:to>
      <xdr:col>25</xdr:col>
      <xdr:colOff>2381250</xdr:colOff>
      <xdr:row>33</xdr:row>
      <xdr:rowOff>561975</xdr:rowOff>
    </xdr:to>
    <xdr:graphicFrame macro="">
      <xdr:nvGraphicFramePr>
        <xdr:cNvPr id="2" name="Chart 1">
          <a:extLst>
            <a:ext uri="{FF2B5EF4-FFF2-40B4-BE49-F238E27FC236}">
              <a16:creationId xmlns:a16="http://schemas.microsoft.com/office/drawing/2014/main" id="{BD788DC6-DB83-4D54-9E9A-CF920E11E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590551</xdr:colOff>
      <xdr:row>4</xdr:row>
      <xdr:rowOff>47625</xdr:rowOff>
    </xdr:from>
    <xdr:to>
      <xdr:col>22</xdr:col>
      <xdr:colOff>333375</xdr:colOff>
      <xdr:row>19</xdr:row>
      <xdr:rowOff>28575</xdr:rowOff>
    </xdr:to>
    <xdr:graphicFrame macro="">
      <xdr:nvGraphicFramePr>
        <xdr:cNvPr id="5" name="Chart 4">
          <a:extLst>
            <a:ext uri="{FF2B5EF4-FFF2-40B4-BE49-F238E27FC236}">
              <a16:creationId xmlns:a16="http://schemas.microsoft.com/office/drawing/2014/main" id="{813766C9-F8DD-4F3B-8ABD-5310EE614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257175</xdr:colOff>
      <xdr:row>4</xdr:row>
      <xdr:rowOff>57150</xdr:rowOff>
    </xdr:from>
    <xdr:to>
      <xdr:col>16</xdr:col>
      <xdr:colOff>400050</xdr:colOff>
      <xdr:row>19</xdr:row>
      <xdr:rowOff>152400</xdr:rowOff>
    </xdr:to>
    <xdr:sp macro="" textlink="">
      <xdr:nvSpPr>
        <xdr:cNvPr id="7" name="Rectangle: Rounded Corners 6">
          <a:extLst>
            <a:ext uri="{FF2B5EF4-FFF2-40B4-BE49-F238E27FC236}">
              <a16:creationId xmlns:a16="http://schemas.microsoft.com/office/drawing/2014/main" id="{141433E7-BEC6-4BA6-8E90-738046BDBE29}"/>
            </a:ext>
          </a:extLst>
        </xdr:cNvPr>
        <xdr:cNvSpPr/>
      </xdr:nvSpPr>
      <xdr:spPr>
        <a:xfrm>
          <a:off x="5743575" y="781050"/>
          <a:ext cx="4410075" cy="2809875"/>
        </a:xfrm>
        <a:prstGeom prst="roundRect">
          <a:avLst/>
        </a:prstGeom>
        <a:solidFill>
          <a:schemeClr val="bg1"/>
        </a:solidFill>
        <a:ln>
          <a:noFill/>
        </a:ln>
        <a:effectLst>
          <a:outerShdw blurRad="50800" dist="50800" dir="5400000" algn="ctr" rotWithShape="0">
            <a:schemeClr val="tx2">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590550</xdr:colOff>
      <xdr:row>4</xdr:row>
      <xdr:rowOff>76200</xdr:rowOff>
    </xdr:from>
    <xdr:to>
      <xdr:col>16</xdr:col>
      <xdr:colOff>47625</xdr:colOff>
      <xdr:row>19</xdr:row>
      <xdr:rowOff>85725</xdr:rowOff>
    </xdr:to>
    <xdr:graphicFrame macro="">
      <xdr:nvGraphicFramePr>
        <xdr:cNvPr id="22" name="Chart 21">
          <a:extLst>
            <a:ext uri="{FF2B5EF4-FFF2-40B4-BE49-F238E27FC236}">
              <a16:creationId xmlns:a16="http://schemas.microsoft.com/office/drawing/2014/main" id="{DE373BAE-2199-49C6-98A8-B68DB64A8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161925</xdr:colOff>
      <xdr:row>4</xdr:row>
      <xdr:rowOff>85724</xdr:rowOff>
    </xdr:from>
    <xdr:to>
      <xdr:col>9</xdr:col>
      <xdr:colOff>219075</xdr:colOff>
      <xdr:row>19</xdr:row>
      <xdr:rowOff>180974</xdr:rowOff>
    </xdr:to>
    <xdr:sp macro="" textlink="">
      <xdr:nvSpPr>
        <xdr:cNvPr id="25" name="Rectangle: Rounded Corners 24">
          <a:extLst>
            <a:ext uri="{FF2B5EF4-FFF2-40B4-BE49-F238E27FC236}">
              <a16:creationId xmlns:a16="http://schemas.microsoft.com/office/drawing/2014/main" id="{7AA180A9-BFFA-49D5-9EDC-2F35BD2C5209}"/>
            </a:ext>
          </a:extLst>
        </xdr:cNvPr>
        <xdr:cNvSpPr/>
      </xdr:nvSpPr>
      <xdr:spPr>
        <a:xfrm>
          <a:off x="1990725" y="809624"/>
          <a:ext cx="3714750" cy="2809875"/>
        </a:xfrm>
        <a:prstGeom prst="roundRect">
          <a:avLst/>
        </a:prstGeom>
        <a:solidFill>
          <a:schemeClr val="bg1"/>
        </a:solidFill>
        <a:ln>
          <a:noFill/>
        </a:ln>
        <a:effectLst>
          <a:outerShdw blurRad="50800" dist="50800" dir="5400000" algn="ctr" rotWithShape="0">
            <a:schemeClr val="tx2">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285750</xdr:colOff>
      <xdr:row>4</xdr:row>
      <xdr:rowOff>161925</xdr:rowOff>
    </xdr:from>
    <xdr:to>
      <xdr:col>8</xdr:col>
      <xdr:colOff>542925</xdr:colOff>
      <xdr:row>19</xdr:row>
      <xdr:rowOff>114300</xdr:rowOff>
    </xdr:to>
    <xdr:graphicFrame macro="">
      <xdr:nvGraphicFramePr>
        <xdr:cNvPr id="26" name="Chart 25">
          <a:extLst>
            <a:ext uri="{FF2B5EF4-FFF2-40B4-BE49-F238E27FC236}">
              <a16:creationId xmlns:a16="http://schemas.microsoft.com/office/drawing/2014/main" id="{C4670333-9301-43CD-AA53-886965D57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361950</xdr:colOff>
      <xdr:row>21</xdr:row>
      <xdr:rowOff>95250</xdr:rowOff>
    </xdr:from>
    <xdr:to>
      <xdr:col>12</xdr:col>
      <xdr:colOff>228600</xdr:colOff>
      <xdr:row>33</xdr:row>
      <xdr:rowOff>762000</xdr:rowOff>
    </xdr:to>
    <xdr:graphicFrame macro="">
      <xdr:nvGraphicFramePr>
        <xdr:cNvPr id="27" name="Chart 26">
          <a:extLst>
            <a:ext uri="{FF2B5EF4-FFF2-40B4-BE49-F238E27FC236}">
              <a16:creationId xmlns:a16="http://schemas.microsoft.com/office/drawing/2014/main" id="{6AD9F4EA-CE08-422F-AAD0-D3E941D76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95251</xdr:colOff>
      <xdr:row>20</xdr:row>
      <xdr:rowOff>161925</xdr:rowOff>
    </xdr:from>
    <xdr:to>
      <xdr:col>22</xdr:col>
      <xdr:colOff>552451</xdr:colOff>
      <xdr:row>33</xdr:row>
      <xdr:rowOff>895350</xdr:rowOff>
    </xdr:to>
    <xdr:sp macro="" textlink="">
      <xdr:nvSpPr>
        <xdr:cNvPr id="29" name="Rectangle: Rounded Corners 28">
          <a:extLst>
            <a:ext uri="{FF2B5EF4-FFF2-40B4-BE49-F238E27FC236}">
              <a16:creationId xmlns:a16="http://schemas.microsoft.com/office/drawing/2014/main" id="{464B64FA-153D-4318-92DE-A14AA418405D}"/>
            </a:ext>
          </a:extLst>
        </xdr:cNvPr>
        <xdr:cNvSpPr/>
      </xdr:nvSpPr>
      <xdr:spPr>
        <a:xfrm>
          <a:off x="8020051" y="3781425"/>
          <a:ext cx="5943600" cy="3086100"/>
        </a:xfrm>
        <a:prstGeom prst="roundRect">
          <a:avLst/>
        </a:prstGeom>
        <a:solidFill>
          <a:schemeClr val="bg1"/>
        </a:solidFill>
        <a:ln>
          <a:noFill/>
        </a:ln>
        <a:effectLst>
          <a:outerShdw blurRad="50800" dist="50800" dir="5400000" algn="ctr" rotWithShape="0">
            <a:schemeClr val="tx2">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238125</xdr:colOff>
      <xdr:row>21</xdr:row>
      <xdr:rowOff>142875</xdr:rowOff>
    </xdr:from>
    <xdr:to>
      <xdr:col>22</xdr:col>
      <xdr:colOff>352425</xdr:colOff>
      <xdr:row>33</xdr:row>
      <xdr:rowOff>838200</xdr:rowOff>
    </xdr:to>
    <xdr:graphicFrame macro="">
      <xdr:nvGraphicFramePr>
        <xdr:cNvPr id="30" name="Chart 29">
          <a:extLst>
            <a:ext uri="{FF2B5EF4-FFF2-40B4-BE49-F238E27FC236}">
              <a16:creationId xmlns:a16="http://schemas.microsoft.com/office/drawing/2014/main" id="{9E05F135-DB04-4534-A5D1-42CB9D691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8.648600810186" createdVersion="8" refreshedVersion="8" minRefreshableVersion="3" recordCount="907" xr:uid="{9C385244-F059-4748-A270-F63D9E143A26}">
  <cacheSource type="worksheet">
    <worksheetSource ref="A1:N908" sheet="International_Education_Costs"/>
  </cacheSource>
  <cacheFields count="14">
    <cacheField name="Country" numFmtId="0">
      <sharedItems count="71">
        <s v="USA"/>
        <s v="UK"/>
        <s v="Canada"/>
        <s v="Australia"/>
        <s v="Germany"/>
        <s v="Japan"/>
        <s v="Netherlands"/>
        <s v="Singapore"/>
        <s v="France"/>
        <s v="Switzerland"/>
        <s v="Sweden"/>
        <s v="Denmark"/>
        <s v="China"/>
        <s v="South Korea"/>
        <s v="Ireland"/>
        <s v="New Zealand"/>
        <s v="Austria"/>
        <s v="Belgium"/>
        <s v="Hong Kong"/>
        <s v="Portugal"/>
        <s v="Israel"/>
        <s v="Taiwan"/>
        <s v="Czech Republic"/>
        <s v="India"/>
        <s v="Poland"/>
        <s v="Malaysia"/>
        <s v="Spain"/>
        <s v="Italy"/>
        <s v="Finland"/>
        <s v="Norway"/>
        <s v="Brazil"/>
        <s v="Turkey"/>
        <s v="Russia"/>
        <s v="Mexico"/>
        <s v="Greece"/>
        <s v="Thailand"/>
        <s v="UAE"/>
        <s v="South Africa"/>
        <s v="Egypt"/>
        <s v="Argentina"/>
        <s v="Indonesia"/>
        <s v="Saudi Arabia"/>
        <s v="Nigeria"/>
        <s v="Vietnam"/>
        <s v="Hungary"/>
        <s v="Iceland"/>
        <s v="Colombia"/>
        <s v="Romania"/>
        <s v="Luxembourg"/>
        <s v="Tunisia"/>
        <s v="Cyprus"/>
        <s v="Croatia"/>
        <s v="Dominican Republic"/>
        <s v="Morocco"/>
        <s v="Peru"/>
        <s v="Ecuador"/>
        <s v="Lebanon"/>
        <s v="Bahrain"/>
        <s v="Uruguay"/>
        <s v="Bulgaria"/>
        <s v="Ghana"/>
        <s v="Algeria"/>
        <s v="Panama"/>
        <s v="Bangladesh"/>
        <s v="Kuwait"/>
        <s v="Ukraine"/>
        <s v="Slovenia"/>
        <s v="Serbia"/>
        <s v="Iran"/>
        <s v="Uzbekistan"/>
        <s v="El Salvador"/>
      </sharedItems>
    </cacheField>
    <cacheField name="City" numFmtId="0">
      <sharedItems count="556">
        <s v="Cambridge"/>
        <s v="London"/>
        <s v="Toronto"/>
        <s v="Melbourne"/>
        <s v="Munich"/>
        <s v="Tokyo"/>
        <s v="Amsterdam"/>
        <s v="Singapore"/>
        <s v="Paris"/>
        <s v="Zurich"/>
        <s v="Stockholm"/>
        <s v="Copenhagen"/>
        <s v="Beijing"/>
        <s v="Seoul"/>
        <s v="Dublin"/>
        <s v="Busan"/>
        <s v="Auckland"/>
        <s v="Vienna"/>
        <s v="Brussels"/>
        <s v="Ann Arbor"/>
        <s v="Atlanta"/>
        <s v="Austin"/>
        <s v="Bristol"/>
        <s v="Ottawa"/>
        <s v="Hong Kong"/>
        <s v="Lisbon"/>
        <s v="Tel Aviv"/>
        <s v="Taipei"/>
        <s v="Prague"/>
        <s v="Stanford"/>
        <s v="Boston"/>
        <s v="Oxford"/>
        <s v="Heidelberg"/>
        <s v="Basel"/>
        <s v="Delft"/>
        <s v="Waterloo"/>
        <s v="Canberra"/>
        <s v="Lund"/>
        <s v="San Diego"/>
        <s v="Seattle"/>
        <s v="Edmonton"/>
        <s v="Glasgow"/>
        <s v="Bangalore"/>
        <s v="Aalborg"/>
        <s v="Warsaw"/>
        <s v="Galway"/>
        <s v="Daejeon"/>
        <s v="Kuala Lumpur"/>
        <s v="Berkeley"/>
        <s v="Manchester"/>
        <s v="Vancouver"/>
        <s v="Sydney"/>
        <s v="Berlin"/>
        <s v="Barcelona"/>
        <s v="Milan"/>
        <s v="Rotterdam"/>
        <s v="Helsinki"/>
        <s v="Oslo"/>
        <s v="Osaka"/>
        <s v="Kyoto"/>
        <s v="Nagoya"/>
        <s v="Sendai"/>
        <s v="Fukuoka"/>
        <s v="Sapporo"/>
        <s v="Tsukuba"/>
        <s v="Kobe"/>
        <s v="Kanazawa"/>
        <s v="Hiroshima"/>
        <s v="Adelaide"/>
        <s v="Perth"/>
        <s v="Gold Coast"/>
        <s v="Hobart"/>
        <s v="Newcastle"/>
        <s v="Wollongong"/>
        <s v="Darwin"/>
        <s v="Townsville"/>
        <s v="Sunshine Coast"/>
        <s v="Armidale"/>
        <s v="Dresden"/>
        <s v="Stuttgart"/>
        <s v="Hamburg"/>
        <s v="Aachen"/>
        <s v="Karlsruhe"/>
        <s v="Darmstadt"/>
        <s v="Braunschweig"/>
        <s v="Jena"/>
        <s v="Hannover"/>
        <s v="Freiburg"/>
        <s v="Philadelphia"/>
        <s v="Chicago"/>
        <s v="Baltimore"/>
        <s v="Nashville"/>
        <s v="Durham"/>
        <s v="Madison"/>
        <s v="Tempe"/>
        <s v="Boulder"/>
        <s v="Minneapolis"/>
        <s v="Davis"/>
        <s v="Leeds"/>
        <s v="Warwick"/>
        <s v="Sheffield"/>
        <s v="Birmingham"/>
        <s v="Southampton"/>
        <s v="Nottingham"/>
        <s v="Cardiff"/>
        <s v="Belfast"/>
        <s v="Hamilton"/>
        <s v="London ON"/>
        <s v="Halifax"/>
        <s v="Victoria"/>
        <s v="Quebec City"/>
        <s v="Winnipeg"/>
        <s v="Regina"/>
        <s v="St. John's"/>
        <s v="Saskatoon"/>
        <s v="Sherbrooke"/>
        <s v="Pittsburgh"/>
        <s v="Urbana-Champaign"/>
        <s v="Calgary"/>
        <s v="Sao Paulo"/>
        <s v="Istanbul"/>
        <s v="Moscow"/>
        <s v="Mexico City"/>
        <s v="Athens"/>
        <s v="Bangkok"/>
        <s v="Dubai"/>
        <s v="New York"/>
        <s v="Ithaca"/>
        <s v="Shenzhen"/>
        <s v="Cape Town"/>
        <s v="Cairo"/>
        <s v="Buenos Aires"/>
        <s v="Jakarta"/>
        <s v="Riyadh"/>
        <s v="Lagos"/>
        <s v="Ho Chi Minh City"/>
        <s v="Eindhoven"/>
        <s v="Enschede"/>
        <s v="Groningen"/>
        <s v="Maastricht"/>
        <s v="Nijmegen"/>
        <s v="Tilburg"/>
        <s v="Utrecht"/>
        <s v="Leiden"/>
        <s v="Wageningen"/>
        <s v="Toulouse"/>
        <s v="Lyon"/>
        <s v="Grenoble"/>
        <s v="Nice"/>
        <s v="Bordeaux"/>
        <s v="Lille"/>
        <s v="Rennes"/>
        <s v="Strasbourg"/>
        <s v="Montpellier"/>
        <s v="Lausanne"/>
        <s v="Geneva"/>
        <s v="Bern"/>
        <s v="St. Gallen"/>
        <s v="Lugano"/>
        <s v="Fribourg"/>
        <s v="Neuchatel"/>
        <s v="Lucerne"/>
        <s v="Winterthur"/>
        <s v="Aarhus"/>
        <s v="Shanghai"/>
        <s v="Hangzhou"/>
        <s v="Nanjing"/>
        <s v="Guangzhou"/>
        <s v="Wuhan"/>
        <s v="Xi'an"/>
        <s v="Chengdu"/>
        <s v="Daegu"/>
        <s v="Gwangju"/>
        <s v="Ulsan"/>
        <s v="Pohang"/>
        <s v="Incheon"/>
        <s v="Suwon"/>
        <s v="Cheongju"/>
        <s v="New Haven"/>
        <s v="Princeton"/>
        <s v="Los Angeles"/>
        <s v="Urbana"/>
        <s v="Columbus"/>
        <s v="West Lafayette"/>
        <s v="Gainesville"/>
        <s v="Raleigh"/>
        <s v="College Station"/>
        <s v="Corvallis"/>
        <s v="Edinburgh"/>
        <s v="Liverpool"/>
        <s v="Aberdeen"/>
        <s v="Leicester"/>
        <s v="Reading"/>
        <s v="Sussex"/>
        <s v="Essex"/>
        <s v="Bath"/>
        <s v="Surrey"/>
        <s v="Exeter"/>
        <s v="Kent"/>
        <s v="Dundee"/>
        <s v="Strathclyde"/>
        <s v="Heriot-Watt"/>
        <s v="Loughborough"/>
        <s v="Brunel"/>
        <s v="Queen Mary"/>
        <s v="Royal Holloway"/>
        <s v="Lancaster"/>
        <s v="Swansea"/>
        <s v="Aston"/>
        <s v="Hull"/>
        <s v="Keele"/>
        <s v="Plymouth"/>
        <s v="Portsmouth"/>
        <s v="Ulster"/>
        <s v="Northumbria"/>
        <s v="Coventry"/>
        <s v="Oxford Brookes"/>
        <s v="De Montfort"/>
        <s v="Westminster"/>
        <s v="Greenwich"/>
        <s v="Kingston"/>
        <s v="Montreal"/>
        <s v="Windsor"/>
        <s v="Moncton"/>
        <s v="Trois-Rivieres"/>
        <s v="Thunder Bay"/>
        <s v="Sudbury"/>
        <s v="Prince George"/>
        <s v="Brisbane"/>
        <s v="Toowoomba"/>
        <s v="Ballarat"/>
        <s v="Lismore"/>
        <s v="Frankfurt"/>
        <s v="Cologne"/>
        <s v="Bonn"/>
        <s v="San Francisco"/>
        <s v="Cork"/>
        <s v="Limerick"/>
        <s v="Maynooth"/>
        <s v="Denver"/>
        <s v="Waterford"/>
        <s v="Portland"/>
        <s v="Sligo"/>
        <s v="Athlone"/>
        <s v="Trondheim"/>
        <s v="Espoo"/>
        <s v="Bergen"/>
        <s v="Tampere"/>
        <s v="Odense"/>
        <s v="TromsÃ¸"/>
        <s v="Turku"/>
        <s v="Stavanger"/>
        <s v="Oulu"/>
        <s v="Roskilde"/>
        <s v="Ã…s"/>
        <s v="Vaasa"/>
        <s v="Lyngby"/>
        <s v="BodÃ¸"/>
        <s v="JyvÃ¤skylÃ¤"/>
        <s v="Kolding"/>
        <s v="GjÃ¸vik"/>
        <s v="Lappeenranta"/>
        <s v="Bremen"/>
        <s v="Esbjerg"/>
        <s v="Kristiansand"/>
        <s v="Kuopio"/>
        <s v="Slagelse"/>
        <s v="Horten"/>
        <s v="Joensuu"/>
        <s v="Herning"/>
        <s v="Wellington"/>
        <s v="Uppsala"/>
        <s v="Porto"/>
        <s v="Christchurch"/>
        <s v="Gothenburg"/>
        <s v="Coimbra"/>
        <s v="Dunedin"/>
        <s v="Braga"/>
        <s v="LinkÃ¶ping"/>
        <s v="Aveiro"/>
        <s v="Palmerston North"/>
        <s v="UmeÃ¥"/>
        <s v="Faro"/>
        <s v="Karlstad"/>
        <s v="Vila Real"/>
        <s v="VÃ¤xjÃ¶"/>
        <s v="Funchal"/>
        <s v="Madrid"/>
        <s v="Rome"/>
        <s v="Thessaloniki"/>
        <s v="Graz"/>
        <s v="Monterrey"/>
        <s v="Valencia"/>
        <s v="Turin"/>
        <s v="Patras"/>
        <s v="Linz"/>
        <s v="Guadalajara"/>
        <s v="Seville"/>
        <s v="Bologna"/>
        <s v="Heraklion"/>
        <s v="Salzburg"/>
        <s v="Puebla"/>
        <s v="Bilbao"/>
        <s v="Florence"/>
        <s v="Volos"/>
        <s v="Innsbruck"/>
        <s v="Queretaro"/>
        <s v="Granada"/>
        <s v="Naples"/>
        <s v="Ioannina"/>
        <s v="Klagenfurt"/>
        <s v="Merida"/>
        <s v="Zaragoza"/>
        <s v="Pisa"/>
        <s v="Rhodes"/>
        <s v="Leoben"/>
        <s v="Tijuana"/>
        <s v="Salamanca"/>
        <s v="Padua"/>
        <s v="Chania"/>
        <s v="Dornbirn"/>
        <s v="San Luis Potosi"/>
        <s v="Leuven"/>
        <s v="Budapest"/>
        <s v="Ankara"/>
        <s v="Ghent"/>
        <s v="Debrecen"/>
        <s v="Saint Petersburg"/>
        <s v="Izmir"/>
        <s v="Szeged"/>
        <s v="Novosibirsk"/>
        <s v="Eskisehir"/>
        <s v="Antwerp"/>
        <s v="Pecs"/>
        <s v="Kazan"/>
        <s v="Bursa"/>
        <s v="Louvain"/>
        <s v="Gyor"/>
        <s v="Tomsk"/>
        <s v="Antalya"/>
        <s v="Piraeus"/>
        <s v="Hasselt"/>
        <s v="Miskolc"/>
        <s v="Yekaterinburg"/>
        <s v="Kayseri"/>
        <s v="Xanthi"/>
        <s v="Liege"/>
        <s v="Veszprem"/>
        <s v="Samara"/>
        <s v="Konya"/>
        <s v="Chios"/>
        <s v="Mons"/>
        <s v="Kecskemet"/>
        <s v="Rostov-on-Don"/>
        <s v="Rio de Janeiro"/>
        <s v="Mumbai"/>
        <s v="Chiang Mai"/>
        <s v="Abu Dhabi"/>
        <s v="Campinas"/>
        <s v="Delhi"/>
        <s v="Khon Kaen"/>
        <s v="Alexandria"/>
        <s v="Sharjah"/>
        <s v="Porto Alegre"/>
        <s v="Chennai"/>
        <s v="Phuket"/>
        <s v="Giza"/>
        <s v="Ajman"/>
        <s v="Recife"/>
        <s v="Hyderabad"/>
        <s v="Hat Yai"/>
        <s v="Port Said"/>
        <s v="Al Ain"/>
        <s v="Florianopolis"/>
        <s v="Pune"/>
        <s v="Nakhon Ratchasima"/>
        <s v="Mansoura"/>
        <s v="Ras Al Khaimah"/>
        <s v="Salvador"/>
        <s v="Kanpur"/>
        <s v="Songkhla"/>
        <s v="Aswan"/>
        <s v="Fujairah"/>
        <s v="Reykjavik"/>
        <s v="Bogota"/>
        <s v="Bucharest"/>
        <s v="Luxembourg City"/>
        <s v="Akureyri"/>
        <s v="Medellin"/>
        <s v="Krakow"/>
        <s v="Cluj-Napoca"/>
        <s v="Esch-sur-Alzette"/>
        <s v="Bandung"/>
        <s v="Cali"/>
        <s v="Wroclaw"/>
        <s v="Timisoara"/>
        <s v="Belval"/>
        <s v="Yogyakarta"/>
        <s v="Hafnarfjordur"/>
        <s v="Barranquilla"/>
        <s v="Poznan"/>
        <s v="Iasi"/>
        <s v="Kirchberg"/>
        <s v="Surabaya"/>
        <s v="Kopavogur"/>
        <s v="Bucaramanga"/>
        <s v="Gdansk"/>
        <s v="Brasov"/>
        <s v="Differdange"/>
        <s v="Malang"/>
        <s v="Lodz"/>
        <s v="Constanta"/>
        <s v="Walferdange"/>
        <s v="Semarang"/>
        <s v="Borgarnes"/>
        <s v="Cartagena"/>
        <s v="Katowice"/>
        <s v="Craiova"/>
        <s v="Bertrange"/>
        <s v="Denpasar"/>
        <s v="Tunis"/>
        <s v="Nicosia"/>
        <s v="Zagreb"/>
        <s v="Santo Domingo"/>
        <s v="Rabat"/>
        <s v="Lima"/>
        <s v="Sfax"/>
        <s v="Limassol"/>
        <s v="Split"/>
        <s v="Santiago"/>
        <s v="Casablanca"/>
        <s v="Arequipa"/>
        <s v="Cordoba"/>
        <s v="Sousse"/>
        <s v="Larnaca"/>
        <s v="Rijeka"/>
        <s v="La Romana"/>
        <s v="Fez"/>
        <s v="Trujillo"/>
        <s v="Rosario"/>
        <s v="Monastir"/>
        <s v="Famagusta"/>
        <s v="Osijek"/>
        <s v="San Pedro"/>
        <s v="Marrakech"/>
        <s v="Cusco"/>
        <s v="La Plata"/>
        <s v="Gabes"/>
        <s v="Zadar"/>
        <s v="Paphos"/>
        <s v="Puerto Plata"/>
        <s v="Tangier"/>
        <s v="Piura"/>
        <s v="Mendoza"/>
        <s v="Bizerte"/>
        <s v="Girne"/>
        <s v="Dubrovnik"/>
        <s v="Oujda"/>
        <s v="Chiclayo"/>
        <s v="Quito"/>
        <s v="Beirut"/>
        <s v="Manama"/>
        <s v="Montevideo"/>
        <s v="Sofia"/>
        <s v="Accra"/>
        <s v="Algiers"/>
        <s v="Panama City"/>
        <s v="Guayaquil"/>
        <s v="Byblos"/>
        <s v="Riffa"/>
        <s v="Salto"/>
        <s v="Plovdiv"/>
        <s v="Kumasi"/>
        <s v="Oran"/>
        <s v="David"/>
        <s v="Cuenca"/>
        <s v="Tripoli"/>
        <s v="Isa Town"/>
        <s v="Maldonado"/>
        <s v="Varna"/>
        <s v="Cape Coast"/>
        <s v="Constantine"/>
        <s v="Loja"/>
        <s v="Jounieh"/>
        <s v="Sakhir"/>
        <s v="Rivera"/>
        <s v="Burgas"/>
        <s v="Tamale"/>
        <s v="Annaba"/>
        <s v="ChitrÃ©"/>
        <s v="Ambato"/>
        <s v="Sidon"/>
        <s v="Muharraq"/>
        <s v="Paysandu"/>
        <s v="Ruse"/>
        <s v="Ho"/>
        <s v="Tlemcen"/>
        <s v="La Chorrera"/>
        <s v="Dhaka"/>
        <s v="Kuwait City"/>
        <s v="Kyiv"/>
        <s v="Ljubljana"/>
        <s v="Belgrade"/>
        <s v="Tehran"/>
        <s v="Tashkent"/>
        <s v="San Salvador"/>
        <s v="Chittagong"/>
        <s v="Hawalli"/>
        <s v="Lviv"/>
        <s v="Maribor"/>
        <s v="Novi Sad"/>
        <s v="Isfahan"/>
        <s v="Samarkand"/>
        <s v="Santa Ana"/>
        <s v="Khulna"/>
        <s v="Al Jahra"/>
        <s v="Kharkiv"/>
        <s v="Koper"/>
        <s v="Nis"/>
        <s v="Mashhad"/>
        <s v="Bukhara"/>
        <s v="San Miguel"/>
        <s v="Rajshahi"/>
        <s v="Salmiya"/>
        <s v="Odesa"/>
        <s v="Nova Gorica"/>
        <s v="Kragujevac"/>
        <s v="Shiraz"/>
        <s v="Namangan"/>
        <s v="Sonsonate"/>
        <s v="Sylhet"/>
        <s v="Al Ahmadi"/>
        <s v="Dnipro"/>
        <s v="Celje"/>
        <s v="Subotica"/>
        <s v="Tabriz"/>
        <s v="Andijan"/>
        <s v="Santa Tecla"/>
        <s v="Penang"/>
        <s v="Jeddah"/>
        <s v="Johor Bahru"/>
        <s v="Dhahran"/>
        <s v="Kuching"/>
        <s v="Medina"/>
        <s v="MIT"/>
        <s v="Marseille"/>
        <s v="Cyberjaya"/>
        <s v="Dammam"/>
        <s v="Bangi"/>
        <s v="Taif"/>
        <s v="Melaka"/>
        <s v="Tabuk"/>
        <s v="Shah Alam"/>
        <s v="Makkah"/>
        <s v="Nilai"/>
        <s v="Al-Ahsa"/>
      </sharedItems>
    </cacheField>
    <cacheField name="University" numFmtId="0">
      <sharedItems count="622">
        <s v="Harvard University"/>
        <s v="Imperial College London"/>
        <s v="University of Toronto"/>
        <s v="University of Melbourne"/>
        <s v="Technical University of Munich"/>
        <s v="University of Tokyo"/>
        <s v="University of Amsterdam"/>
        <s v="National University of Singapore"/>
        <s v="Sorbonne University"/>
        <s v="ETH Zurich"/>
        <s v="KTH Royal Institute"/>
        <s v="University of Copenhagen"/>
        <s v="Tsinghua University"/>
        <s v="Seoul National University"/>
        <s v="Trinity College Dublin"/>
        <s v="Pusan National University"/>
        <s v="University of Auckland"/>
        <s v="University of Vienna"/>
        <s v="KU Leuven"/>
        <s v="University of Michigan"/>
        <s v="Georgia Tech"/>
        <s v="UT Austin"/>
        <s v="University of Bristol"/>
        <s v="University of Ottawa"/>
        <s v="HKUST"/>
        <s v="University of Lisbon"/>
        <s v="Tel Aviv University"/>
        <s v="National Taiwan University"/>
        <s v="Charles University"/>
        <s v="Stanford University"/>
        <s v="MIT"/>
        <s v="University of Oxford"/>
        <s v="University of Cambridge"/>
        <s v="Heidelberg University"/>
        <s v="ETH Basel"/>
        <s v="TU Delft"/>
        <s v="NTU Singapore"/>
        <s v="University of Waterloo"/>
        <s v="Australian National University"/>
        <s v="Lund University"/>
        <s v="UC San Diego"/>
        <s v="University of Washington"/>
        <s v="University of Alberta"/>
        <s v="University of Glasgow"/>
        <s v="Indian Institute of Science"/>
        <s v="Aalborg University"/>
        <s v="University of Warsaw"/>
        <s v="NUI Galway"/>
        <s v="KAIST"/>
        <s v="University of Malaya"/>
        <s v="UC Berkeley"/>
        <s v="University of Manchester"/>
        <s v="University of British Columbia"/>
        <s v="University of Sydney"/>
        <s v="Free University of Berlin"/>
        <s v="University of Barcelona"/>
        <s v="Politecnico di Milano"/>
        <s v="Erasmus University"/>
        <s v="University of Helsinki"/>
        <s v="University of Oslo"/>
        <s v="Osaka University"/>
        <s v="Kyoto University"/>
        <s v="Nagoya University"/>
        <s v="Tohoku University"/>
        <s v="Kyushu University"/>
        <s v="Hokkaido University"/>
        <s v="Tokyo Institute of Technology"/>
        <s v="University of Tsukuba"/>
        <s v="Kobe University"/>
        <s v="Kanazawa University"/>
        <s v="Hiroshima University"/>
        <s v="University of Adelaide"/>
        <s v="University of Western Australia"/>
        <s v="Griffith University"/>
        <s v="University of Tasmania"/>
        <s v="University of Newcastle"/>
        <s v="University of Wollongong"/>
        <s v="Charles Darwin University"/>
        <s v="James Cook University"/>
        <s v="USC"/>
        <s v="University of New England"/>
        <s v="TU Dresden"/>
        <s v="University of Stuttgart"/>
        <s v="TU Hamburg"/>
        <s v="RWTH Aachen"/>
        <s v="KIT"/>
        <s v="TU Darmstadt"/>
        <s v="TU Braunschweig"/>
        <s v="University of Jena"/>
        <s v="Leibniz University"/>
        <s v="University of Freiburg"/>
        <s v="University of Pennsylvania"/>
        <s v="University of Chicago"/>
        <s v="Johns Hopkins"/>
        <s v="Vanderbilt University"/>
        <s v="Duke University"/>
        <s v="University of Wisconsin"/>
        <s v="Arizona State University"/>
        <s v="University of Colorado"/>
        <s v="University of Minnesota"/>
        <s v="UC Davis"/>
        <s v="University College London"/>
        <s v="University of Leeds"/>
        <s v="University of Warwick"/>
        <s v="University of Sheffield"/>
        <s v="University of Birmingham"/>
        <s v="University of Southampton"/>
        <s v="University of Nottingham"/>
        <s v="Cardiff University"/>
        <s v="Queen's University Belfast"/>
        <s v="Newcastle University"/>
        <s v="McMaster University"/>
        <s v="Western University"/>
        <s v="Dalhousie University"/>
        <s v="University of Victoria"/>
        <s v="Laval University"/>
        <s v="University of Manitoba"/>
        <s v="University of Regina"/>
        <s v="Memorial University"/>
        <s v="University of Saskatchewan"/>
        <s v="UniversitÃ© de Sherbrooke"/>
        <s v="Carnegie Mellon"/>
        <s v="UIUC"/>
        <s v="University of Calgary"/>
        <s v="University of Sao Paulo"/>
        <s v="Bogazici University"/>
        <s v="Moscow State University"/>
        <s v="UNAM"/>
        <s v="National Technical University"/>
        <s v="Chulalongkorn University"/>
        <s v="American University in Dubai"/>
        <s v="Columbia University"/>
        <s v="Cornell University"/>
        <s v="SUSTech"/>
        <s v="University of Cape Town"/>
        <s v="American University in Cairo"/>
        <s v="University of Buenos Aires"/>
        <s v="University of Indonesia"/>
        <s v="King Saud University"/>
        <s v="University of Lagos"/>
        <s v="HCMUT"/>
        <s v="TU Eindhoven"/>
        <s v="University of Twente"/>
        <s v="University of Groningen"/>
        <s v="Maastricht University"/>
        <s v="Radboud University"/>
        <s v="Tilburg University"/>
        <s v="Utrecht University"/>
        <s v="Leiden University"/>
        <s v="Wageningen University"/>
        <s v="VU Amsterdam"/>
        <s v="Nanyang Technological University"/>
        <s v="Singapore Management University"/>
        <s v="SUTD"/>
        <s v="SIT"/>
        <s v="NUS"/>
        <s v="NTU"/>
        <s v="SMU"/>
        <s v="Ã‰cole Polytechnique"/>
        <s v="INSA Toulouse"/>
        <s v="Ã‰cole Normale SupÃ©rieure Lyon"/>
        <s v="Grenoble INP"/>
        <s v="UniversitÃ© Nice Sophia Antipolis"/>
        <s v="University of Bordeaux"/>
        <s v="UniversitÃ© de Lille"/>
        <s v="INSA Rennes"/>
        <s v="University of Strasbourg"/>
        <s v="University of Montpellier"/>
        <s v="EPFL"/>
        <s v="University of Geneva"/>
        <s v="University of Bern"/>
        <s v="University of St. Gallen"/>
        <s v="USI"/>
        <s v="University of Fribourg"/>
        <s v="University of Neuchatel"/>
        <s v="University of Basel"/>
        <s v="University of Lucerne"/>
        <s v="ZHAW"/>
        <s v="Aarhus University"/>
        <s v="Peking University"/>
        <s v="Fudan University"/>
        <s v="Shanghai Jiao Tong University"/>
        <s v="Zhejiang University"/>
        <s v="Nanjing University"/>
        <s v="Sun Yat-sen University"/>
        <s v="Wuhan University"/>
        <s v="Xi'an Jiaotong University"/>
        <s v="Sichuan University"/>
        <s v="Korea University"/>
        <s v="Yonsei University"/>
        <s v="Hanyang University"/>
        <s v="Sungkyunkwan University"/>
        <s v="Chungnam National University"/>
        <s v="Dong-A University"/>
        <s v="Kyungpook National University"/>
        <s v="Yeungnam University"/>
        <s v="Chonnam National University"/>
        <s v="Chosun University"/>
        <s v="Ulsan National Institute of Science and Technology"/>
        <s v="University of Ulsan"/>
        <s v="POSTECH"/>
        <s v="Incheon National University"/>
        <s v="Sungkyunkwan University (Suwon)"/>
        <s v="Hanbat National University"/>
        <s v="Chungbuk National University"/>
        <s v="Yale University"/>
        <s v="Princeton University"/>
        <s v="UCLA"/>
        <s v="University of Texas Austin"/>
        <s v="University of Wisconsin-Madison"/>
        <s v="University of Illinois Urbana-Champaign"/>
        <s v="Ohio State University"/>
        <s v="Purdue University"/>
        <s v="University of Florida"/>
        <s v="NC State University"/>
        <s v="Texas A&amp;M University"/>
        <s v="Oregon State University"/>
        <s v="King's College London"/>
        <s v="University of Edinburgh"/>
        <s v="Durham University"/>
        <s v="University of Liverpool"/>
        <s v="University of Aberdeen"/>
        <s v="University of Leicester"/>
        <s v="University of Reading"/>
        <s v="University of Sussex"/>
        <s v="University of Essex"/>
        <s v="University of Bath"/>
        <s v="University of Surrey"/>
        <s v="University of Exeter"/>
        <s v="University of Kent"/>
        <s v="University of Dundee"/>
        <s v="University of Strathclyde"/>
        <s v="Heriot-Watt University"/>
        <s v="Loughborough University"/>
        <s v="Brunel University London"/>
        <s v="Queen Mary University of London"/>
        <s v="Royal Holloway University"/>
        <s v="Lancaster University"/>
        <s v="Swansea University"/>
        <s v="Aston University"/>
        <s v="University of Hull"/>
        <s v="Keele University"/>
        <s v="University of Plymouth"/>
        <s v="University of Portsmouth"/>
        <s v="Ulster University"/>
        <s v="Northumbria University"/>
        <s v="Coventry University"/>
        <s v="Oxford Brookes University"/>
        <s v="De Montfort University"/>
        <s v="University of Westminster"/>
        <s v="University of Greenwich"/>
        <s v="Kingston University"/>
        <s v="McGill University"/>
        <s v="University of Montreal"/>
        <s v="Queen's University"/>
        <s v="University of Sherbrooke"/>
        <s v="University of Windsor"/>
        <s v="University of New Brunswick"/>
        <s v="UQTR"/>
        <s v="Lakehead University"/>
        <s v="Laurentian University"/>
        <s v="UNBC"/>
        <s v="University of Queensland"/>
        <s v="University of New South Wales"/>
        <s v="Monash University"/>
        <s v="Queensland University of Technology"/>
        <s v="University of Technology Sydney"/>
        <s v="RMIT University"/>
        <s v="University of Canberra"/>
        <s v="University of Southern Queensland"/>
        <s v="Federation University"/>
        <s v="Southern Cross University"/>
        <s v="TU Munich"/>
        <s v="Humboldt University"/>
        <s v="University of Hamburg"/>
        <s v="Goethe University"/>
        <s v="University of Cologne"/>
        <s v="University of Bonn"/>
        <s v="UC Berkeley Extension"/>
        <s v="Anglia Ruskin University"/>
        <s v="University of Lyon"/>
        <s v="University College Cork"/>
        <s v="Northeastern University"/>
        <s v="University of Toulouse"/>
        <s v="University of Limerick"/>
        <s v="University of Salford"/>
        <s v="University of Nice"/>
        <s v="Maynooth University"/>
        <s v="University of Denver"/>
        <s v="Leeds Beckett University"/>
        <s v="University of Lille"/>
        <s v="Waterford IT"/>
        <s v="Portland State University"/>
        <s v="UWE Bristol"/>
        <s v="USI Lugano"/>
        <s v="IT Sligo"/>
        <s v="Athlone IT"/>
        <s v="Technical University Berlin"/>
        <s v="NTNU"/>
        <s v="Aalto University"/>
        <s v="LMU Munich"/>
        <s v="University of Bergen"/>
        <s v="Tampere University"/>
        <s v="University of Southern Denmark"/>
        <s v="UiT Arctic University"/>
        <s v="University of Turku"/>
        <s v="University of Stavanger"/>
        <s v="University of Oulu"/>
        <s v="Roskilde University"/>
        <s v="Norwegian University of Life Sciences"/>
        <s v="University of Vaasa"/>
        <s v="Technical University of Denmark"/>
        <s v="Nord University"/>
        <s v="University of JyvÃ¤skylÃ¤"/>
        <s v="NTNU GjÃ¸vik"/>
        <s v="LUT University"/>
        <s v="University of Bremen"/>
        <s v="University of Agder"/>
        <s v="University of Eastern Finland"/>
        <s v="University of South-Eastern Norway"/>
        <s v="Victoria University"/>
        <s v="Uppsala University"/>
        <s v="University of Porto"/>
        <s v="University of Canterbury"/>
        <s v="Chalmers University"/>
        <s v="University of Coimbra"/>
        <s v="University of Otago"/>
        <s v="University of Minho"/>
        <s v="University of Waikato"/>
        <s v="LinkÃ¶ping University"/>
        <s v="University of Aveiro"/>
        <s v="Massey University"/>
        <s v="UmeÃ¥ University"/>
        <s v="University of Algarve"/>
        <s v="AUT University"/>
        <s v="Karlstad University"/>
        <s v="UTAD"/>
        <s v="Lincoln University"/>
        <s v="Linnaeus University"/>
        <s v="University of Madeira"/>
        <s v="Universidad PolitÃ©cnica de Madrid"/>
        <s v="TU Wien"/>
        <s v="Universitat PolitÃ¨cnica Catalunya"/>
        <s v="Sapienza University"/>
        <s v="Aristotle University"/>
        <s v="TU Graz"/>
        <s v="TecnolÃ³gico de Monterrey"/>
        <s v="Universitat de ValÃ¨ncia"/>
        <s v="Politecnico di Torino"/>
        <s v="University of Patras"/>
        <s v="Johannes Kepler University"/>
        <s v="Universidad de Guadalajara"/>
        <s v="Universidad de Sevilla"/>
        <s v="University of Bologna"/>
        <s v="University of Crete"/>
        <s v="University of Salzburg"/>
        <s v="UDLAP"/>
        <s v="University of the Basque Country"/>
        <s v="University of Florence"/>
        <s v="University of Thessaly"/>
        <s v="University of Innsbruck"/>
        <s v="Tecnologico de Monterrey"/>
        <s v="University of Granada"/>
        <s v="University of Naples"/>
        <s v="University of Ioannina"/>
        <s v="University of Klagenfurt"/>
        <s v="Universidad Autonoma de Yucatan"/>
        <s v="University of Zaragoza"/>
        <s v="University of Pisa"/>
        <s v="University of the Aegean"/>
        <s v="MontanuniversitÃ¤t Leoben"/>
        <s v="CETYS Universidad"/>
        <s v="University of Salamanca"/>
        <s v="University of Padua"/>
        <s v="Technical University of Crete"/>
        <s v="FH Vorarlberg"/>
        <s v="UASLP"/>
        <s v="Athens University of Economics"/>
        <s v="Budapest University of Technology"/>
        <s v="Middle East Technical University"/>
        <s v="University of Macedonia"/>
        <s v="Ghent University"/>
        <s v="University of Debrecen"/>
        <s v="ITMO University"/>
        <s v="Ege University"/>
        <s v="Vrije Universiteit Brussel"/>
        <s v="University of Szeged"/>
        <s v="Novosibirsk State University"/>
        <s v="Anadolu University"/>
        <s v="University of Antwerp"/>
        <s v="University of Pecs"/>
        <s v="Kazan Federal University"/>
        <s v="Uludag University"/>
        <s v="UCLouvain"/>
        <s v="Szechenyi Istvan University"/>
        <s v="Tomsk State University"/>
        <s v="Akdeniz University"/>
        <s v="University of Piraeus"/>
        <s v="Hasselt University"/>
        <s v="University of Miskolc"/>
        <s v="Ural Federal University"/>
        <s v="Erciyes University"/>
        <s v="Democritus University"/>
        <s v="University of Liege"/>
        <s v="University of Pannonia"/>
        <s v="Samara State University"/>
        <s v="Selcuk University"/>
        <s v="University of Mons"/>
        <s v="John von Neumann University"/>
        <s v="Southern Federal University"/>
        <s v="Cairo University"/>
        <s v="University of Dubai"/>
        <s v="PUC-Rio"/>
        <s v="IIT Bombay"/>
        <s v="Chiang Mai University"/>
        <s v="Khalifa University"/>
        <s v="UNICAMP"/>
        <s v="IIT Delhi"/>
        <s v="Khon Kaen University"/>
        <s v="Alexandria University"/>
        <s v="American University of Sharjah"/>
        <s v="UFRGS"/>
        <s v="IIT Madras"/>
        <s v="Prince of Songkla University"/>
        <s v="Ain Shams University"/>
        <s v="Singapore University of Technology"/>
        <s v="Ajman University"/>
        <s v="UFPE"/>
        <s v="IIT Hyderabad"/>
        <s v="Port Said University"/>
        <s v="UAE University"/>
        <s v="UFSC"/>
        <s v="IIT Pune"/>
        <s v="Suranaree University"/>
        <s v="Mansoura University"/>
        <s v="SIM Global Education"/>
        <s v="RAK University"/>
        <s v="UFBA"/>
        <s v="IIT Kanpur"/>
        <s v="Thaksin University"/>
        <s v="Aswan University"/>
        <s v="Fujairah University"/>
        <s v="University of Iceland"/>
        <s v="Universidad Nacional"/>
        <s v="University Politehnica"/>
        <s v="University of Luxembourg"/>
        <s v="University of Akureyri"/>
        <s v="Universidad de Antioquia"/>
        <s v="Jagiellonian University"/>
        <s v="Babes-Bolyai University"/>
        <s v="Luxembourg School of Business"/>
        <s v="Institut Teknologi Bandung"/>
        <s v="Reykjavik University"/>
        <s v="Universidad del Valle"/>
        <s v="Wroclaw University of Technology"/>
        <s v="Politehnica University"/>
        <s v="Luxembourg Institute of Science"/>
        <s v="Gadjah Mada University"/>
        <s v="Iceland University of Arts"/>
        <s v="Universidad del Norte"/>
        <s v="Adam Mickiewicz University"/>
        <s v="Alexandru Ioan Cuza University"/>
        <s v="Sacred Heart University"/>
        <s v="Institut Teknologi Sepuluh"/>
        <s v="Bifrost University"/>
        <s v="UIS"/>
        <s v="Gdansk University of Technology"/>
        <s v="Transilvania University"/>
        <s v="Miami University Dolibois"/>
        <s v="Brawijaya University"/>
        <s v="Lodz University of Technology"/>
        <s v="Ovidius University"/>
        <s v="European Business University"/>
        <s v="Diponegoro University"/>
        <s v="Agricultural University"/>
        <s v="Universidad de Cartagena"/>
        <s v="University of Silesia"/>
        <s v="University of Craiova"/>
        <s v="Chamber of Commerce School"/>
        <s v="Udayana University"/>
        <s v="University of Tunis"/>
        <s v="University of Cyprus"/>
        <s v="University of Zagreb"/>
        <s v="INTEC"/>
        <s v="Mohammed V University"/>
        <s v="PUCP"/>
        <s v="University of Sfax"/>
        <s v="Cyprus University of Technology"/>
        <s v="University of Split"/>
        <s v="PUCMM"/>
        <s v="Hassan II University"/>
        <s v="Universidad San Agustin"/>
        <s v="National University of Cordoba"/>
        <s v="University of Sousse"/>
        <s v="American University Cyprus"/>
        <s v="University of Rijeka"/>
        <s v="Universidad Central Este"/>
        <s v="University of Al Quaraouiyine"/>
        <s v="Universidad Nacional de Trujillo"/>
        <s v="National University of Rosario"/>
        <s v="University of Monastir"/>
        <s v="Eastern Mediterranean University"/>
        <s v="University of Osijek"/>
        <s v="UCNE"/>
        <s v="Cadi Ayyad University"/>
        <s v="Universidad San Antonio Abad"/>
        <s v="National University of La Plata"/>
        <s v="University of Gabes"/>
        <s v="University of Zadar"/>
        <s v="Neapolis University"/>
        <s v="UTESA"/>
        <s v="Abdelmalek Essaadi University"/>
        <s v="Universidad de Piura"/>
        <s v="National University of Cuyo"/>
        <s v="University of Carthage"/>
        <s v="Girne American University"/>
        <s v="University of Dubrovnik"/>
        <s v="Mohammed I University"/>
        <s v="Universidad San Martin"/>
        <s v="Universidad San Francisco"/>
        <s v="American University of Beirut"/>
        <s v="University of Bahrain"/>
        <s v="Universidad de la Republica"/>
        <s v="Sofia University"/>
        <s v="University of Ghana"/>
        <s v="University of Science and Technology"/>
        <s v="Universidad Tecnologica"/>
        <s v="ESPOL"/>
        <s v="Lebanese American University"/>
        <s v="Royal University for Women"/>
        <s v="Universidad ORT Uruguay"/>
        <s v="Plovdiv University"/>
        <s v="Kwame Nkrumah University"/>
        <s v="University of Oran"/>
        <s v="ISAE University"/>
        <s v="Universidad de Cuenca"/>
        <s v="Lebanese University"/>
        <s v="Bahrain Polytechnic"/>
        <s v="Universidad Catolica"/>
        <s v="Technical University Varna"/>
        <s v="University of Cape Coast"/>
        <s v="University of Constantine"/>
        <s v="Universidad Latina"/>
        <s v="UTPL"/>
        <s v="Holy Spirit University"/>
        <s v="Arabian Gulf University"/>
        <s v="UTEC"/>
        <s v="Burgas Free University"/>
        <s v="University for Development"/>
        <s v="Badji Mokhtar University"/>
        <s v="Quality Leadership University"/>
        <s v="Universidad Tecnica"/>
        <s v="Lebanese International"/>
        <s v="Applied Science University"/>
        <s v="Universidad de Paysandu"/>
        <s v="University of Ruse"/>
        <s v="University of Health Sciences"/>
        <s v="University of Tlemcen"/>
        <s v="Universidad Metropolitana"/>
        <s v="Bangladesh University of Engineering"/>
        <s v="Kuwait University"/>
        <s v="Igor Sikorsky Kyiv Polytechnic"/>
        <s v="University of Ljubljana"/>
        <s v="University of Belgrade"/>
        <s v="Sharif University of Technology"/>
        <s v="INHA University Tashkent"/>
        <s v="Universidad Don Bosco"/>
        <s v="CUET"/>
        <s v="American University Kuwait"/>
        <s v="Lviv Polytechnic"/>
        <s v="University of Maribor"/>
        <s v="University of Novi Sad"/>
        <s v="Isfahan University of Technology"/>
        <s v="Samarkand State University"/>
        <s v="Khulna University"/>
        <s v="Gulf University for Science"/>
        <s v="Kharkiv Polytechnic"/>
        <s v="University of Primorska"/>
        <s v="University of Nis"/>
        <s v="Ferdowsi University"/>
        <s v="Bukhara State University"/>
        <s v="Universidad de Oriente"/>
        <s v="RUET"/>
        <s v="Australian College Kuwait"/>
        <s v="Odesa Polytechnic"/>
        <s v="University of Nova Gorica"/>
        <s v="University of Kragujevac"/>
        <s v="Shiraz University"/>
        <s v="Namangan Institute"/>
        <s v="Universidad de Sonsonate"/>
        <s v="SUST"/>
        <s v="ACK"/>
        <s v="Dnipro Polytechnic"/>
        <s v="Faculty of Logistics"/>
        <s v="University of Subotica"/>
        <s v="University of Tabriz"/>
        <s v="Andijan State University"/>
        <s v="ITCA-FEPADE"/>
        <s v="Imperial College"/>
        <s v="Universidad Politecnica"/>
        <s v="USM"/>
        <s v="King Abdulaziz University"/>
        <s v="Universitat de Barcelona"/>
        <s v="Ã‰cole Normale SupÃ©rieure"/>
        <s v="UTM"/>
        <s v="KFUPM"/>
        <s v="Universidad de Valencia"/>
        <s v="UNIMAS"/>
        <s v="Islamic University"/>
        <s v="Massachusetts"/>
        <s v="Aix-Marseille University"/>
        <s v="Multimedia University"/>
        <s v="Imam Abdulrahman University"/>
        <s v="Universidad de Granada"/>
        <s v="UKM"/>
        <s v="Taif University"/>
        <s v="UTeM"/>
        <s v="University of Tabuk"/>
        <s v="UiTM"/>
        <s v="Umm Al-Qura University"/>
        <s v="USIM"/>
        <s v="King Faisal University"/>
      </sharedItems>
    </cacheField>
    <cacheField name="Program" numFmtId="0">
      <sharedItems count="92">
        <s v="Computer Science"/>
        <s v="Data Science"/>
        <s v="Business Analytics"/>
        <s v="Engineering"/>
        <s v="Mechanical Engineering"/>
        <s v="Information Science"/>
        <s v="Artificial Intelligence"/>
        <s v="Finance"/>
        <s v="International Relations"/>
        <s v="Physics"/>
        <s v="Sustainable Technology"/>
        <s v="Bioinformatics"/>
        <s v="Computer Engineering"/>
        <s v="Digital Media"/>
        <s v="Data Analytics"/>
        <s v="Business"/>
        <s v="Marine Biology"/>
        <s v="Social Sciences"/>
        <s v="Biomedical Sciences"/>
        <s v="Aerospace Engineering"/>
        <s v="Industrial Engineering"/>
        <s v="Chemical Engineering"/>
        <s v="Mathematics"/>
        <s v="Political Science"/>
        <s v="Architecture"/>
        <s v="Electronics Engineering"/>
        <s v="Medicine"/>
        <s v="Electrical Engineering"/>
        <s v="Molecular Biology"/>
        <s v="Pharmaceutical Sciences"/>
        <s v="Robotics"/>
        <s v="Quantum Computing"/>
        <s v="Climate Science"/>
        <s v="Neuroscience"/>
        <s v="Economics"/>
        <s v="Psychology"/>
        <s v="International Business"/>
        <s v="Design"/>
        <s v="Environmental Science"/>
        <s v="Software Engineering"/>
        <s v="Information Systems"/>
        <s v="Information Technology"/>
        <s v="Software Development"/>
        <s v="Computing Science"/>
        <s v="Data Engineering"/>
        <s v="Software Systems"/>
        <s v="Digital Engineering"/>
        <s v="Robotics &amp; AI"/>
        <s v="Cybersecurity"/>
        <s v="Computing Systems"/>
        <s v="Applied Mathematics"/>
        <s v="Software Science"/>
        <s v="Game Technology"/>
        <s v="Computer Science &amp; Design"/>
        <s v="Data Science &amp; AI"/>
        <s v="Technology &amp; Innovation"/>
        <s v="Computing &amp; Innovation"/>
        <s v="Digital Systems &amp; AI"/>
        <s v="Digital Systems"/>
        <s v="Business Informatics"/>
        <s v="Computational Science"/>
        <s v="Digital Innovation"/>
        <s v="Robotics Engineering"/>
        <s v="AI Engineering"/>
        <s v="Computer Systems"/>
        <s v="Information Security"/>
        <s v="Computer Networks"/>
        <s v="Chemistry"/>
        <s v="Biotechnology"/>
        <s v="Marine Technology"/>
        <s v="Energy Engineering"/>
        <s v="Petroleum Engineering"/>
        <s v="Industrial Management"/>
        <s v="Mechatronics"/>
        <s v="Quantum Engineering"/>
        <s v="Environmental Engineering"/>
        <s v="Renewable Energy"/>
        <s v="Materials Science"/>
        <s v="Systems Engineering"/>
        <s v="Forestry Sciences"/>
        <s v="Photonics"/>
        <s v="Engineering Management"/>
        <s v="Engineering Physics"/>
        <s v="Sustainable Energy"/>
        <s v="Machine Learning"/>
        <s v="Environmental Computing"/>
        <s v="Computing"/>
        <s v="Electronics"/>
        <s v="Electronic Engineering"/>
        <s v="Digital Design"/>
        <s v="Digital Business"/>
        <s v="Data Systems"/>
      </sharedItems>
    </cacheField>
    <cacheField name="Level" numFmtId="0">
      <sharedItems count="3">
        <s v="Master"/>
        <s v="Bachelor"/>
        <s v="PhD"/>
      </sharedItems>
    </cacheField>
    <cacheField name="Duration_Years" numFmtId="0">
      <sharedItems containsSemiMixedTypes="0" containsString="0" containsNumber="1" minValue="1" maxValue="5"/>
    </cacheField>
    <cacheField name="Tuition_USD" numFmtId="44">
      <sharedItems containsSemiMixedTypes="0" containsString="0" containsNumber="1" containsInteger="1" minValue="0" maxValue="62000"/>
    </cacheField>
    <cacheField name="Living_Cost_Index" numFmtId="43">
      <sharedItems containsSemiMixedTypes="0" containsString="0" containsNumber="1" minValue="27.8" maxValue="122.4"/>
    </cacheField>
    <cacheField name="Rent_USD" numFmtId="165">
      <sharedItems containsSemiMixedTypes="0" containsString="0" containsNumber="1" containsInteger="1" minValue="150" maxValue="2500"/>
    </cacheField>
    <cacheField name="Visa_Fee_USD" numFmtId="44">
      <sharedItems containsSemiMixedTypes="0" containsString="0" containsNumber="1" containsInteger="1" minValue="40" maxValue="490"/>
    </cacheField>
    <cacheField name="Insurance_USD" numFmtId="44">
      <sharedItems containsSemiMixedTypes="0" containsString="0" containsNumber="1" containsInteger="1" minValue="200" maxValue="1500"/>
    </cacheField>
    <cacheField name="Exchange_Rate" numFmtId="44">
      <sharedItems containsSemiMixedTypes="0" containsString="0" containsNumber="1" minValue="0.15" maxValue="42150"/>
    </cacheField>
    <cacheField name="Total_Cost(Local currency)" numFmtId="44">
      <sharedItems containsSemiMixedTypes="0" containsString="0" containsNumber="1" minValue="993.6" maxValue="318750000"/>
    </cacheField>
    <cacheField name="Total_Study_Cost" numFmtId="44">
      <sharedItems containsSemiMixedTypes="0" containsString="0" containsNumber="1" containsInteger="1" minValue="600" maxValue="66160"/>
    </cacheField>
  </cacheFields>
  <extLst>
    <ext xmlns:x14="http://schemas.microsoft.com/office/spreadsheetml/2009/9/main" uri="{725AE2AE-9491-48be-B2B4-4EB974FC3084}">
      <x14:pivotCacheDefinition pivotCacheId="20672688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7">
  <r>
    <x v="0"/>
    <x v="0"/>
    <x v="0"/>
    <x v="0"/>
    <x v="0"/>
    <n v="2"/>
    <n v="55400"/>
    <n v="83.5"/>
    <n v="2200"/>
    <n v="160"/>
    <n v="1500"/>
    <n v="1"/>
    <n v="59260"/>
    <n v="59260"/>
  </r>
  <r>
    <x v="1"/>
    <x v="1"/>
    <x v="1"/>
    <x v="1"/>
    <x v="0"/>
    <n v="1"/>
    <n v="41200"/>
    <n v="75.8"/>
    <n v="1800"/>
    <n v="485"/>
    <n v="800"/>
    <n v="0.79"/>
    <n v="34985.15"/>
    <n v="44285"/>
  </r>
  <r>
    <x v="2"/>
    <x v="2"/>
    <x v="2"/>
    <x v="2"/>
    <x v="0"/>
    <n v="2"/>
    <n v="38500"/>
    <n v="72.5"/>
    <n v="1600"/>
    <n v="235"/>
    <n v="900"/>
    <n v="1.35"/>
    <n v="55667.250000000007"/>
    <n v="41235"/>
  </r>
  <r>
    <x v="3"/>
    <x v="3"/>
    <x v="3"/>
    <x v="3"/>
    <x v="0"/>
    <n v="2"/>
    <n v="42000"/>
    <n v="71.2"/>
    <n v="1400"/>
    <n v="450"/>
    <n v="650"/>
    <n v="1.52"/>
    <n v="67640"/>
    <n v="44500"/>
  </r>
  <r>
    <x v="4"/>
    <x v="4"/>
    <x v="4"/>
    <x v="4"/>
    <x v="0"/>
    <n v="2"/>
    <n v="500"/>
    <n v="70.5"/>
    <n v="1100"/>
    <n v="75"/>
    <n v="550"/>
    <n v="0.92"/>
    <n v="2047"/>
    <n v="2225"/>
  </r>
  <r>
    <x v="5"/>
    <x v="5"/>
    <x v="5"/>
    <x v="5"/>
    <x v="0"/>
    <n v="2"/>
    <n v="8900"/>
    <n v="76.400000000000006"/>
    <n v="1300"/>
    <n v="220"/>
    <n v="750"/>
    <n v="145.80000000000001"/>
    <n v="1628586.0000000002"/>
    <n v="11170"/>
  </r>
  <r>
    <x v="6"/>
    <x v="6"/>
    <x v="6"/>
    <x v="6"/>
    <x v="0"/>
    <n v="1"/>
    <n v="15800"/>
    <n v="73.2"/>
    <n v="1500"/>
    <n v="180"/>
    <n v="720"/>
    <n v="0.92"/>
    <n v="16744"/>
    <n v="18200"/>
  </r>
  <r>
    <x v="7"/>
    <x v="7"/>
    <x v="7"/>
    <x v="7"/>
    <x v="0"/>
    <n v="1.5"/>
    <n v="35000"/>
    <n v="81.099999999999994"/>
    <n v="1900"/>
    <n v="90"/>
    <n v="800"/>
    <n v="1.34"/>
    <n v="50638.600000000006"/>
    <n v="37790"/>
  </r>
  <r>
    <x v="8"/>
    <x v="8"/>
    <x v="8"/>
    <x v="8"/>
    <x v="0"/>
    <n v="2"/>
    <n v="4500"/>
    <n v="74.599999999999994"/>
    <n v="1400"/>
    <n v="99"/>
    <n v="650"/>
    <n v="0.92"/>
    <n v="6117.08"/>
    <n v="6649"/>
  </r>
  <r>
    <x v="9"/>
    <x v="9"/>
    <x v="9"/>
    <x v="9"/>
    <x v="0"/>
    <n v="2"/>
    <n v="1460"/>
    <n v="91.5"/>
    <n v="2100"/>
    <n v="88"/>
    <n v="1200"/>
    <n v="0.89"/>
    <n v="4314.72"/>
    <n v="4848"/>
  </r>
  <r>
    <x v="10"/>
    <x v="10"/>
    <x v="10"/>
    <x v="10"/>
    <x v="0"/>
    <n v="2"/>
    <n v="0"/>
    <n v="71.8"/>
    <n v="1200"/>
    <n v="110"/>
    <n v="400"/>
    <n v="10.45"/>
    <n v="17869.5"/>
    <n v="1710"/>
  </r>
  <r>
    <x v="11"/>
    <x v="11"/>
    <x v="11"/>
    <x v="11"/>
    <x v="0"/>
    <n v="2"/>
    <n v="0"/>
    <n v="73.400000000000006"/>
    <n v="1300"/>
    <n v="120"/>
    <n v="450"/>
    <n v="6.92"/>
    <n v="12940.4"/>
    <n v="1870"/>
  </r>
  <r>
    <x v="12"/>
    <x v="12"/>
    <x v="12"/>
    <x v="12"/>
    <x v="0"/>
    <n v="2.5"/>
    <n v="8900"/>
    <n v="52.3"/>
    <n v="800"/>
    <n v="140"/>
    <n v="400"/>
    <n v="7.18"/>
    <n v="73523.199999999997"/>
    <n v="10240"/>
  </r>
  <r>
    <x v="13"/>
    <x v="13"/>
    <x v="13"/>
    <x v="13"/>
    <x v="0"/>
    <n v="2"/>
    <n v="7200"/>
    <n v="68.7"/>
    <n v="900"/>
    <n v="130"/>
    <n v="500"/>
    <n v="1320.5"/>
    <n v="11527965"/>
    <n v="8730"/>
  </r>
  <r>
    <x v="14"/>
    <x v="14"/>
    <x v="14"/>
    <x v="14"/>
    <x v="0"/>
    <n v="1"/>
    <n v="28900"/>
    <n v="72.900000000000006"/>
    <n v="1600"/>
    <n v="150"/>
    <n v="650"/>
    <n v="0.92"/>
    <n v="28796"/>
    <n v="31300"/>
  </r>
  <r>
    <x v="13"/>
    <x v="15"/>
    <x v="15"/>
    <x v="15"/>
    <x v="1"/>
    <n v="4"/>
    <n v="5900"/>
    <n v="62.4"/>
    <n v="700"/>
    <n v="130"/>
    <n v="500"/>
    <n v="1320.5"/>
    <n v="9547215"/>
    <n v="7230"/>
  </r>
  <r>
    <x v="15"/>
    <x v="16"/>
    <x v="16"/>
    <x v="16"/>
    <x v="1"/>
    <n v="3"/>
    <n v="28500"/>
    <n v="69.8"/>
    <n v="1200"/>
    <n v="245"/>
    <n v="600"/>
    <n v="1.64"/>
    <n v="50093.799999999996"/>
    <n v="30545"/>
  </r>
  <r>
    <x v="16"/>
    <x v="17"/>
    <x v="17"/>
    <x v="17"/>
    <x v="1"/>
    <n v="3"/>
    <n v="1500"/>
    <n v="67.400000000000006"/>
    <n v="950"/>
    <n v="160"/>
    <n v="500"/>
    <n v="0.92"/>
    <n v="2861.2000000000003"/>
    <n v="3110"/>
  </r>
  <r>
    <x v="17"/>
    <x v="18"/>
    <x v="18"/>
    <x v="18"/>
    <x v="1"/>
    <n v="3"/>
    <n v="3500"/>
    <n v="68.900000000000006"/>
    <n v="1000"/>
    <n v="180"/>
    <n v="550"/>
    <n v="0.92"/>
    <n v="4811.6000000000004"/>
    <n v="5230"/>
  </r>
  <r>
    <x v="0"/>
    <x v="19"/>
    <x v="19"/>
    <x v="19"/>
    <x v="1"/>
    <n v="4"/>
    <n v="52300"/>
    <n v="72.5"/>
    <n v="1800"/>
    <n v="160"/>
    <n v="1500"/>
    <n v="1"/>
    <n v="55760"/>
    <n v="55760"/>
  </r>
  <r>
    <x v="0"/>
    <x v="20"/>
    <x v="20"/>
    <x v="20"/>
    <x v="1"/>
    <n v="4"/>
    <n v="43800"/>
    <n v="71.5"/>
    <n v="1700"/>
    <n v="160"/>
    <n v="1500"/>
    <n v="1"/>
    <n v="47160"/>
    <n v="47160"/>
  </r>
  <r>
    <x v="0"/>
    <x v="21"/>
    <x v="21"/>
    <x v="21"/>
    <x v="1"/>
    <n v="4"/>
    <n v="40900"/>
    <n v="72.400000000000006"/>
    <n v="1600"/>
    <n v="160"/>
    <n v="1500"/>
    <n v="1"/>
    <n v="44160"/>
    <n v="44160"/>
  </r>
  <r>
    <x v="1"/>
    <x v="22"/>
    <x v="22"/>
    <x v="22"/>
    <x v="1"/>
    <n v="3"/>
    <n v="31200"/>
    <n v="69.8"/>
    <n v="1100"/>
    <n v="485"/>
    <n v="800"/>
    <n v="0.79"/>
    <n v="26532.15"/>
    <n v="33585"/>
  </r>
  <r>
    <x v="2"/>
    <x v="23"/>
    <x v="23"/>
    <x v="23"/>
    <x v="1"/>
    <n v="4"/>
    <n v="28900"/>
    <n v="68.5"/>
    <n v="1300"/>
    <n v="235"/>
    <n v="900"/>
    <n v="1.35"/>
    <n v="42302.25"/>
    <n v="31335"/>
  </r>
  <r>
    <x v="18"/>
    <x v="24"/>
    <x v="24"/>
    <x v="7"/>
    <x v="1"/>
    <n v="4"/>
    <n v="22000"/>
    <n v="78.599999999999994"/>
    <n v="1500"/>
    <n v="120"/>
    <n v="600"/>
    <n v="7.82"/>
    <n v="189400.4"/>
    <n v="24220"/>
  </r>
  <r>
    <x v="19"/>
    <x v="25"/>
    <x v="25"/>
    <x v="24"/>
    <x v="1"/>
    <n v="3"/>
    <n v="3500"/>
    <n v="58.4"/>
    <n v="800"/>
    <n v="120"/>
    <n v="450"/>
    <n v="0.92"/>
    <n v="4480.4000000000005"/>
    <n v="4870"/>
  </r>
  <r>
    <x v="20"/>
    <x v="26"/>
    <x v="26"/>
    <x v="0"/>
    <x v="1"/>
    <n v="3"/>
    <n v="12000"/>
    <n v="76.2"/>
    <n v="1200"/>
    <n v="150"/>
    <n v="800"/>
    <n v="3.72"/>
    <n v="52638"/>
    <n v="14150"/>
  </r>
  <r>
    <x v="21"/>
    <x v="27"/>
    <x v="27"/>
    <x v="25"/>
    <x v="1"/>
    <n v="4"/>
    <n v="5200"/>
    <n v="62.8"/>
    <n v="700"/>
    <n v="140"/>
    <n v="450"/>
    <n v="31.2"/>
    <n v="202488"/>
    <n v="6490"/>
  </r>
  <r>
    <x v="22"/>
    <x v="28"/>
    <x v="28"/>
    <x v="26"/>
    <x v="1"/>
    <n v="3"/>
    <n v="9800"/>
    <n v="54.6"/>
    <n v="650"/>
    <n v="100"/>
    <n v="400"/>
    <n v="22.5"/>
    <n v="246375"/>
    <n v="10950"/>
  </r>
  <r>
    <x v="0"/>
    <x v="29"/>
    <x v="29"/>
    <x v="0"/>
    <x v="2"/>
    <n v="5"/>
    <n v="54200"/>
    <n v="89.5"/>
    <n v="2300"/>
    <n v="160"/>
    <n v="1500"/>
    <n v="1"/>
    <n v="58160"/>
    <n v="58160"/>
  </r>
  <r>
    <x v="0"/>
    <x v="30"/>
    <x v="30"/>
    <x v="27"/>
    <x v="2"/>
    <n v="5"/>
    <n v="53800"/>
    <n v="83.2"/>
    <n v="2200"/>
    <n v="160"/>
    <n v="1500"/>
    <n v="1"/>
    <n v="57660"/>
    <n v="57660"/>
  </r>
  <r>
    <x v="1"/>
    <x v="31"/>
    <x v="31"/>
    <x v="18"/>
    <x v="2"/>
    <n v="4"/>
    <n v="29800"/>
    <n v="74.5"/>
    <n v="1600"/>
    <n v="485"/>
    <n v="800"/>
    <n v="0.79"/>
    <n v="25821.15"/>
    <n v="32685"/>
  </r>
  <r>
    <x v="1"/>
    <x v="0"/>
    <x v="32"/>
    <x v="9"/>
    <x v="2"/>
    <n v="4"/>
    <n v="31200"/>
    <n v="75.2"/>
    <n v="1700"/>
    <n v="485"/>
    <n v="800"/>
    <n v="0.79"/>
    <n v="27006.15"/>
    <n v="34185"/>
  </r>
  <r>
    <x v="4"/>
    <x v="32"/>
    <x v="33"/>
    <x v="28"/>
    <x v="2"/>
    <n v="3"/>
    <n v="500"/>
    <n v="68.400000000000006"/>
    <n v="900"/>
    <n v="75"/>
    <n v="550"/>
    <n v="0.92"/>
    <n v="1863"/>
    <n v="2025"/>
  </r>
  <r>
    <x v="9"/>
    <x v="33"/>
    <x v="34"/>
    <x v="29"/>
    <x v="2"/>
    <n v="4"/>
    <n v="1500"/>
    <n v="88.6"/>
    <n v="1800"/>
    <n v="88"/>
    <n v="1200"/>
    <n v="0.89"/>
    <n v="4083.32"/>
    <n v="4588"/>
  </r>
  <r>
    <x v="6"/>
    <x v="34"/>
    <x v="35"/>
    <x v="30"/>
    <x v="2"/>
    <n v="4"/>
    <n v="4800"/>
    <n v="71.8"/>
    <n v="1200"/>
    <n v="180"/>
    <n v="720"/>
    <n v="0.92"/>
    <n v="6348"/>
    <n v="6900"/>
  </r>
  <r>
    <x v="7"/>
    <x v="7"/>
    <x v="36"/>
    <x v="1"/>
    <x v="2"/>
    <n v="4"/>
    <n v="8900"/>
    <n v="81.5"/>
    <n v="1600"/>
    <n v="90"/>
    <n v="800"/>
    <n v="1.34"/>
    <n v="15262.6"/>
    <n v="11390"/>
  </r>
  <r>
    <x v="2"/>
    <x v="35"/>
    <x v="37"/>
    <x v="31"/>
    <x v="2"/>
    <n v="4"/>
    <n v="21500"/>
    <n v="69.8"/>
    <n v="1300"/>
    <n v="235"/>
    <n v="900"/>
    <n v="1.35"/>
    <n v="32312.250000000004"/>
    <n v="23935"/>
  </r>
  <r>
    <x v="3"/>
    <x v="36"/>
    <x v="38"/>
    <x v="32"/>
    <x v="2"/>
    <n v="4"/>
    <n v="29800"/>
    <n v="70.2"/>
    <n v="1400"/>
    <n v="450"/>
    <n v="650"/>
    <n v="1.52"/>
    <n v="49096"/>
    <n v="32300"/>
  </r>
  <r>
    <x v="10"/>
    <x v="37"/>
    <x v="39"/>
    <x v="33"/>
    <x v="2"/>
    <n v="4"/>
    <n v="0"/>
    <n v="69.5"/>
    <n v="1000"/>
    <n v="110"/>
    <n v="400"/>
    <n v="10.45"/>
    <n v="15779.499999999998"/>
    <n v="1510"/>
  </r>
  <r>
    <x v="0"/>
    <x v="38"/>
    <x v="40"/>
    <x v="0"/>
    <x v="1"/>
    <n v="4"/>
    <n v="44200"/>
    <n v="79.5"/>
    <n v="1900"/>
    <n v="160"/>
    <n v="1500"/>
    <n v="1"/>
    <n v="47760"/>
    <n v="47760"/>
  </r>
  <r>
    <x v="0"/>
    <x v="39"/>
    <x v="41"/>
    <x v="0"/>
    <x v="0"/>
    <n v="2"/>
    <n v="38900"/>
    <n v="83.4"/>
    <n v="2000"/>
    <n v="160"/>
    <n v="1500"/>
    <n v="1"/>
    <n v="42560"/>
    <n v="42560"/>
  </r>
  <r>
    <x v="2"/>
    <x v="40"/>
    <x v="42"/>
    <x v="0"/>
    <x v="2"/>
    <n v="4"/>
    <n v="22800"/>
    <n v="67.8"/>
    <n v="1200"/>
    <n v="235"/>
    <n v="900"/>
    <n v="1.35"/>
    <n v="33932.25"/>
    <n v="25135"/>
  </r>
  <r>
    <x v="1"/>
    <x v="41"/>
    <x v="43"/>
    <x v="0"/>
    <x v="0"/>
    <n v="1"/>
    <n v="33500"/>
    <n v="67.5"/>
    <n v="1100"/>
    <n v="485"/>
    <n v="800"/>
    <n v="0.79"/>
    <n v="28349.15"/>
    <n v="35885"/>
  </r>
  <r>
    <x v="23"/>
    <x v="42"/>
    <x v="44"/>
    <x v="0"/>
    <x v="0"/>
    <n v="2"/>
    <n v="2500"/>
    <n v="45.6"/>
    <n v="500"/>
    <n v="200"/>
    <n v="300"/>
    <n v="83.2"/>
    <n v="291200"/>
    <n v="3500"/>
  </r>
  <r>
    <x v="11"/>
    <x v="43"/>
    <x v="45"/>
    <x v="0"/>
    <x v="1"/>
    <n v="3"/>
    <n v="0"/>
    <n v="69.8"/>
    <n v="900"/>
    <n v="120"/>
    <n v="450"/>
    <n v="6.92"/>
    <n v="10172.4"/>
    <n v="1470"/>
  </r>
  <r>
    <x v="24"/>
    <x v="44"/>
    <x v="46"/>
    <x v="0"/>
    <x v="0"/>
    <n v="2"/>
    <n v="3800"/>
    <n v="51.2"/>
    <n v="650"/>
    <n v="80"/>
    <n v="350"/>
    <n v="4.0199999999999996"/>
    <n v="19617.599999999999"/>
    <n v="4880"/>
  </r>
  <r>
    <x v="14"/>
    <x v="45"/>
    <x v="47"/>
    <x v="0"/>
    <x v="1"/>
    <n v="4"/>
    <n v="25800"/>
    <n v="68.5"/>
    <n v="1100"/>
    <n v="150"/>
    <n v="650"/>
    <n v="0.92"/>
    <n v="25484"/>
    <n v="27700"/>
  </r>
  <r>
    <x v="13"/>
    <x v="46"/>
    <x v="48"/>
    <x v="0"/>
    <x v="2"/>
    <n v="4"/>
    <n v="6900"/>
    <n v="65.400000000000006"/>
    <n v="700"/>
    <n v="130"/>
    <n v="500"/>
    <n v="1320.5"/>
    <n v="10867715"/>
    <n v="8230"/>
  </r>
  <r>
    <x v="25"/>
    <x v="47"/>
    <x v="49"/>
    <x v="0"/>
    <x v="1"/>
    <n v="4"/>
    <n v="4800"/>
    <n v="48.2"/>
    <n v="500"/>
    <n v="110"/>
    <n v="300"/>
    <n v="4.72"/>
    <n v="26951.199999999997"/>
    <n v="5710"/>
  </r>
  <r>
    <x v="0"/>
    <x v="48"/>
    <x v="50"/>
    <x v="0"/>
    <x v="1"/>
    <n v="4"/>
    <n v="44900"/>
    <n v="84.2"/>
    <n v="2100"/>
    <n v="160"/>
    <n v="1500"/>
    <n v="1"/>
    <n v="48660"/>
    <n v="48660"/>
  </r>
  <r>
    <x v="1"/>
    <x v="49"/>
    <x v="51"/>
    <x v="34"/>
    <x v="1"/>
    <n v="3"/>
    <n v="32000"/>
    <n v="68.400000000000006"/>
    <n v="1200"/>
    <n v="485"/>
    <n v="800"/>
    <n v="0.79"/>
    <n v="27243.15"/>
    <n v="34485"/>
  </r>
  <r>
    <x v="2"/>
    <x v="50"/>
    <x v="52"/>
    <x v="35"/>
    <x v="1"/>
    <n v="4"/>
    <n v="31200"/>
    <n v="71.2"/>
    <n v="1700"/>
    <n v="235"/>
    <n v="900"/>
    <n v="1.35"/>
    <n v="45947.25"/>
    <n v="34035"/>
  </r>
  <r>
    <x v="3"/>
    <x v="51"/>
    <x v="53"/>
    <x v="15"/>
    <x v="1"/>
    <n v="3"/>
    <n v="35000"/>
    <n v="72.8"/>
    <n v="1600"/>
    <n v="450"/>
    <n v="650"/>
    <n v="1.52"/>
    <n v="57304"/>
    <n v="37700"/>
  </r>
  <r>
    <x v="4"/>
    <x v="52"/>
    <x v="54"/>
    <x v="36"/>
    <x v="1"/>
    <n v="3"/>
    <n v="0"/>
    <n v="65.2"/>
    <n v="900"/>
    <n v="75"/>
    <n v="550"/>
    <n v="0.92"/>
    <n v="1403"/>
    <n v="1525"/>
  </r>
  <r>
    <x v="26"/>
    <x v="53"/>
    <x v="55"/>
    <x v="24"/>
    <x v="1"/>
    <n v="4"/>
    <n v="2800"/>
    <n v="62.4"/>
    <n v="950"/>
    <n v="160"/>
    <n v="500"/>
    <n v="0.92"/>
    <n v="4057.2000000000003"/>
    <n v="4410"/>
  </r>
  <r>
    <x v="27"/>
    <x v="54"/>
    <x v="56"/>
    <x v="37"/>
    <x v="1"/>
    <n v="3"/>
    <n v="4200"/>
    <n v="63.8"/>
    <n v="1100"/>
    <n v="120"/>
    <n v="650"/>
    <n v="0.92"/>
    <n v="5584.4000000000005"/>
    <n v="6070"/>
  </r>
  <r>
    <x v="6"/>
    <x v="55"/>
    <x v="57"/>
    <x v="34"/>
    <x v="1"/>
    <n v="3"/>
    <n v="11200"/>
    <n v="71.5"/>
    <n v="1300"/>
    <n v="180"/>
    <n v="720"/>
    <n v="0.92"/>
    <n v="12328"/>
    <n v="13400"/>
  </r>
  <r>
    <x v="28"/>
    <x v="56"/>
    <x v="58"/>
    <x v="0"/>
    <x v="1"/>
    <n v="3"/>
    <n v="0"/>
    <n v="70.2"/>
    <n v="1100"/>
    <n v="120"/>
    <n v="400"/>
    <n v="0.92"/>
    <n v="1490.4"/>
    <n v="1620"/>
  </r>
  <r>
    <x v="29"/>
    <x v="57"/>
    <x v="59"/>
    <x v="38"/>
    <x v="1"/>
    <n v="3"/>
    <n v="0"/>
    <n v="75.599999999999994"/>
    <n v="1400"/>
    <n v="135"/>
    <n v="450"/>
    <n v="10.45"/>
    <n v="20743.25"/>
    <n v="1985"/>
  </r>
  <r>
    <x v="5"/>
    <x v="58"/>
    <x v="60"/>
    <x v="3"/>
    <x v="1"/>
    <n v="4"/>
    <n v="6800"/>
    <n v="71.2"/>
    <n v="900"/>
    <n v="220"/>
    <n v="750"/>
    <n v="145.80000000000001"/>
    <n v="1264086"/>
    <n v="8670"/>
  </r>
  <r>
    <x v="5"/>
    <x v="59"/>
    <x v="61"/>
    <x v="0"/>
    <x v="0"/>
    <n v="2"/>
    <n v="8500"/>
    <n v="71.8"/>
    <n v="900"/>
    <n v="220"/>
    <n v="750"/>
    <n v="145.80000000000001"/>
    <n v="1511946.0000000002"/>
    <n v="10370"/>
  </r>
  <r>
    <x v="5"/>
    <x v="60"/>
    <x v="62"/>
    <x v="5"/>
    <x v="1"/>
    <n v="4"/>
    <n v="7800"/>
    <n v="68.5"/>
    <n v="750"/>
    <n v="220"/>
    <n v="750"/>
    <n v="145.80000000000001"/>
    <n v="1388016"/>
    <n v="9520"/>
  </r>
  <r>
    <x v="5"/>
    <x v="61"/>
    <x v="63"/>
    <x v="39"/>
    <x v="0"/>
    <n v="2"/>
    <n v="8200"/>
    <n v="65.400000000000006"/>
    <n v="650"/>
    <n v="220"/>
    <n v="750"/>
    <n v="145.80000000000001"/>
    <n v="1431756"/>
    <n v="9820"/>
  </r>
  <r>
    <x v="5"/>
    <x v="62"/>
    <x v="64"/>
    <x v="12"/>
    <x v="1"/>
    <n v="4"/>
    <n v="7500"/>
    <n v="64.8"/>
    <n v="600"/>
    <n v="220"/>
    <n v="750"/>
    <n v="145.80000000000001"/>
    <n v="1322406"/>
    <n v="9070"/>
  </r>
  <r>
    <x v="5"/>
    <x v="63"/>
    <x v="65"/>
    <x v="1"/>
    <x v="0"/>
    <n v="2"/>
    <n v="8100"/>
    <n v="63.5"/>
    <n v="550"/>
    <n v="220"/>
    <n v="750"/>
    <n v="145.80000000000001"/>
    <n v="1402596"/>
    <n v="9620"/>
  </r>
  <r>
    <x v="5"/>
    <x v="5"/>
    <x v="66"/>
    <x v="6"/>
    <x v="2"/>
    <n v="3"/>
    <n v="8900"/>
    <n v="76.400000000000006"/>
    <n v="1100"/>
    <n v="220"/>
    <n v="750"/>
    <n v="145.80000000000001"/>
    <n v="1599426.0000000002"/>
    <n v="10970"/>
  </r>
  <r>
    <x v="5"/>
    <x v="64"/>
    <x v="67"/>
    <x v="40"/>
    <x v="1"/>
    <n v="4"/>
    <n v="7200"/>
    <n v="64.2"/>
    <n v="600"/>
    <n v="220"/>
    <n v="750"/>
    <n v="145.80000000000001"/>
    <n v="1278666"/>
    <n v="8770"/>
  </r>
  <r>
    <x v="5"/>
    <x v="65"/>
    <x v="68"/>
    <x v="0"/>
    <x v="0"/>
    <n v="2"/>
    <n v="7900"/>
    <n v="67.8"/>
    <n v="700"/>
    <n v="220"/>
    <n v="750"/>
    <n v="145.80000000000001"/>
    <n v="1395306"/>
    <n v="9570"/>
  </r>
  <r>
    <x v="5"/>
    <x v="66"/>
    <x v="69"/>
    <x v="39"/>
    <x v="1"/>
    <n v="4"/>
    <n v="7100"/>
    <n v="62.5"/>
    <n v="500"/>
    <n v="220"/>
    <n v="750"/>
    <n v="145.80000000000001"/>
    <n v="1249506"/>
    <n v="8570"/>
  </r>
  <r>
    <x v="5"/>
    <x v="67"/>
    <x v="70"/>
    <x v="41"/>
    <x v="0"/>
    <n v="2"/>
    <n v="7600"/>
    <n v="63.8"/>
    <n v="550"/>
    <n v="220"/>
    <n v="750"/>
    <n v="145.80000000000001"/>
    <n v="1329696"/>
    <n v="9120"/>
  </r>
  <r>
    <x v="3"/>
    <x v="68"/>
    <x v="71"/>
    <x v="0"/>
    <x v="1"/>
    <n v="3"/>
    <n v="32800"/>
    <n v="68.5"/>
    <n v="1100"/>
    <n v="450"/>
    <n v="650"/>
    <n v="1.52"/>
    <n v="53200"/>
    <n v="35000"/>
  </r>
  <r>
    <x v="3"/>
    <x v="69"/>
    <x v="72"/>
    <x v="39"/>
    <x v="0"/>
    <n v="2"/>
    <n v="34500"/>
    <n v="69.8"/>
    <n v="1200"/>
    <n v="450"/>
    <n v="650"/>
    <n v="1.52"/>
    <n v="55936"/>
    <n v="36800"/>
  </r>
  <r>
    <x v="3"/>
    <x v="70"/>
    <x v="73"/>
    <x v="41"/>
    <x v="1"/>
    <n v="3"/>
    <n v="31200"/>
    <n v="67.5"/>
    <n v="1100"/>
    <n v="450"/>
    <n v="650"/>
    <n v="1.52"/>
    <n v="50768"/>
    <n v="33400"/>
  </r>
  <r>
    <x v="3"/>
    <x v="71"/>
    <x v="74"/>
    <x v="1"/>
    <x v="0"/>
    <n v="2"/>
    <n v="30800"/>
    <n v="65.400000000000006"/>
    <n v="950"/>
    <n v="450"/>
    <n v="650"/>
    <n v="1.52"/>
    <n v="49932"/>
    <n v="32850"/>
  </r>
  <r>
    <x v="3"/>
    <x v="72"/>
    <x v="75"/>
    <x v="12"/>
    <x v="1"/>
    <n v="4"/>
    <n v="31500"/>
    <n v="66.8"/>
    <n v="1000"/>
    <n v="450"/>
    <n v="650"/>
    <n v="1.52"/>
    <n v="51072"/>
    <n v="33600"/>
  </r>
  <r>
    <x v="3"/>
    <x v="73"/>
    <x v="76"/>
    <x v="6"/>
    <x v="0"/>
    <n v="2"/>
    <n v="32900"/>
    <n v="67.2"/>
    <n v="1050"/>
    <n v="450"/>
    <n v="650"/>
    <n v="1.52"/>
    <n v="53276"/>
    <n v="35050"/>
  </r>
  <r>
    <x v="3"/>
    <x v="74"/>
    <x v="77"/>
    <x v="40"/>
    <x v="1"/>
    <n v="3"/>
    <n v="29800"/>
    <n v="64.5"/>
    <n v="900"/>
    <n v="450"/>
    <n v="650"/>
    <n v="1.52"/>
    <n v="48336"/>
    <n v="31800"/>
  </r>
  <r>
    <x v="3"/>
    <x v="75"/>
    <x v="78"/>
    <x v="14"/>
    <x v="0"/>
    <n v="2"/>
    <n v="31200"/>
    <n v="65.8"/>
    <n v="950"/>
    <n v="450"/>
    <n v="650"/>
    <n v="1.52"/>
    <n v="50540"/>
    <n v="33250"/>
  </r>
  <r>
    <x v="3"/>
    <x v="76"/>
    <x v="79"/>
    <x v="42"/>
    <x v="1"/>
    <n v="3"/>
    <n v="29500"/>
    <n v="66.2"/>
    <n v="1000"/>
    <n v="450"/>
    <n v="650"/>
    <n v="1.52"/>
    <n v="48032"/>
    <n v="31600"/>
  </r>
  <r>
    <x v="3"/>
    <x v="77"/>
    <x v="80"/>
    <x v="43"/>
    <x v="0"/>
    <n v="2"/>
    <n v="30500"/>
    <n v="64.8"/>
    <n v="850"/>
    <n v="450"/>
    <n v="650"/>
    <n v="1.52"/>
    <n v="49324"/>
    <n v="32450"/>
  </r>
  <r>
    <x v="4"/>
    <x v="78"/>
    <x v="81"/>
    <x v="0"/>
    <x v="0"/>
    <n v="2"/>
    <n v="500"/>
    <n v="65.8"/>
    <n v="750"/>
    <n v="75"/>
    <n v="550"/>
    <n v="0.92"/>
    <n v="1725"/>
    <n v="1875"/>
  </r>
  <r>
    <x v="4"/>
    <x v="79"/>
    <x v="82"/>
    <x v="39"/>
    <x v="1"/>
    <n v="3"/>
    <n v="450"/>
    <n v="68.5"/>
    <n v="850"/>
    <n v="75"/>
    <n v="550"/>
    <n v="0.92"/>
    <n v="1771"/>
    <n v="1925"/>
  </r>
  <r>
    <x v="4"/>
    <x v="80"/>
    <x v="83"/>
    <x v="44"/>
    <x v="0"/>
    <n v="2"/>
    <n v="500"/>
    <n v="71.2"/>
    <n v="950"/>
    <n v="75"/>
    <n v="550"/>
    <n v="0.92"/>
    <n v="1909"/>
    <n v="2075"/>
  </r>
  <r>
    <x v="4"/>
    <x v="81"/>
    <x v="84"/>
    <x v="12"/>
    <x v="1"/>
    <n v="3"/>
    <n v="500"/>
    <n v="66.400000000000006"/>
    <n v="700"/>
    <n v="75"/>
    <n v="550"/>
    <n v="0.92"/>
    <n v="1679"/>
    <n v="1825"/>
  </r>
  <r>
    <x v="4"/>
    <x v="82"/>
    <x v="85"/>
    <x v="6"/>
    <x v="0"/>
    <n v="2"/>
    <n v="500"/>
    <n v="67.8"/>
    <n v="800"/>
    <n v="75"/>
    <n v="550"/>
    <n v="0.92"/>
    <n v="1771"/>
    <n v="1925"/>
  </r>
  <r>
    <x v="4"/>
    <x v="83"/>
    <x v="86"/>
    <x v="40"/>
    <x v="1"/>
    <n v="3"/>
    <n v="450"/>
    <n v="66.900000000000006"/>
    <n v="750"/>
    <n v="75"/>
    <n v="550"/>
    <n v="0.92"/>
    <n v="1679"/>
    <n v="1825"/>
  </r>
  <r>
    <x v="4"/>
    <x v="84"/>
    <x v="87"/>
    <x v="45"/>
    <x v="0"/>
    <n v="2"/>
    <n v="500"/>
    <n v="64.5"/>
    <n v="650"/>
    <n v="75"/>
    <n v="550"/>
    <n v="0.92"/>
    <n v="1633"/>
    <n v="1775"/>
  </r>
  <r>
    <x v="4"/>
    <x v="85"/>
    <x v="88"/>
    <x v="1"/>
    <x v="1"/>
    <n v="3"/>
    <n v="450"/>
    <n v="63.8"/>
    <n v="600"/>
    <n v="75"/>
    <n v="550"/>
    <n v="0.92"/>
    <n v="1541"/>
    <n v="1675"/>
  </r>
  <r>
    <x v="4"/>
    <x v="86"/>
    <x v="89"/>
    <x v="46"/>
    <x v="0"/>
    <n v="2"/>
    <n v="500"/>
    <n v="66.2"/>
    <n v="750"/>
    <n v="75"/>
    <n v="550"/>
    <n v="0.92"/>
    <n v="1725"/>
    <n v="1875"/>
  </r>
  <r>
    <x v="4"/>
    <x v="87"/>
    <x v="90"/>
    <x v="47"/>
    <x v="0"/>
    <n v="2"/>
    <n v="500"/>
    <n v="67.5"/>
    <n v="800"/>
    <n v="75"/>
    <n v="550"/>
    <n v="0.92"/>
    <n v="1771"/>
    <n v="1925"/>
  </r>
  <r>
    <x v="0"/>
    <x v="88"/>
    <x v="91"/>
    <x v="0"/>
    <x v="0"/>
    <n v="2"/>
    <n v="51900"/>
    <n v="76.8"/>
    <n v="1900"/>
    <n v="160"/>
    <n v="1500"/>
    <n v="1"/>
    <n v="55460"/>
    <n v="55460"/>
  </r>
  <r>
    <x v="0"/>
    <x v="89"/>
    <x v="92"/>
    <x v="14"/>
    <x v="0"/>
    <n v="2"/>
    <n v="52400"/>
    <n v="78.900000000000006"/>
    <n v="2000"/>
    <n v="160"/>
    <n v="1500"/>
    <n v="1"/>
    <n v="56060"/>
    <n v="56060"/>
  </r>
  <r>
    <x v="0"/>
    <x v="90"/>
    <x v="93"/>
    <x v="6"/>
    <x v="2"/>
    <n v="5"/>
    <n v="53600"/>
    <n v="72.5"/>
    <n v="1700"/>
    <n v="160"/>
    <n v="1500"/>
    <n v="1"/>
    <n v="56960"/>
    <n v="56960"/>
  </r>
  <r>
    <x v="0"/>
    <x v="91"/>
    <x v="94"/>
    <x v="12"/>
    <x v="1"/>
    <n v="4"/>
    <n v="50800"/>
    <n v="71.2"/>
    <n v="1600"/>
    <n v="160"/>
    <n v="1500"/>
    <n v="1"/>
    <n v="54060"/>
    <n v="54060"/>
  </r>
  <r>
    <x v="0"/>
    <x v="92"/>
    <x v="95"/>
    <x v="39"/>
    <x v="0"/>
    <n v="2"/>
    <n v="51500"/>
    <n v="70.8"/>
    <n v="1500"/>
    <n v="160"/>
    <n v="1500"/>
    <n v="1"/>
    <n v="54660"/>
    <n v="54660"/>
  </r>
  <r>
    <x v="0"/>
    <x v="93"/>
    <x v="96"/>
    <x v="0"/>
    <x v="2"/>
    <n v="5"/>
    <n v="38200"/>
    <n v="69.5"/>
    <n v="1400"/>
    <n v="160"/>
    <n v="1500"/>
    <n v="1"/>
    <n v="41260"/>
    <n v="41260"/>
  </r>
  <r>
    <x v="0"/>
    <x v="94"/>
    <x v="97"/>
    <x v="41"/>
    <x v="1"/>
    <n v="4"/>
    <n v="41200"/>
    <n v="70.2"/>
    <n v="1300"/>
    <n v="160"/>
    <n v="1500"/>
    <n v="1"/>
    <n v="44160"/>
    <n v="44160"/>
  </r>
  <r>
    <x v="0"/>
    <x v="95"/>
    <x v="98"/>
    <x v="1"/>
    <x v="0"/>
    <n v="2"/>
    <n v="39800"/>
    <n v="71.5"/>
    <n v="1600"/>
    <n v="160"/>
    <n v="1500"/>
    <n v="1"/>
    <n v="43060"/>
    <n v="43060"/>
  </r>
  <r>
    <x v="0"/>
    <x v="96"/>
    <x v="99"/>
    <x v="0"/>
    <x v="1"/>
    <n v="4"/>
    <n v="42500"/>
    <n v="72.8"/>
    <n v="1500"/>
    <n v="160"/>
    <n v="1500"/>
    <n v="1"/>
    <n v="45660"/>
    <n v="45660"/>
  </r>
  <r>
    <x v="0"/>
    <x v="97"/>
    <x v="100"/>
    <x v="12"/>
    <x v="0"/>
    <n v="2"/>
    <n v="42800"/>
    <n v="73.5"/>
    <n v="1700"/>
    <n v="160"/>
    <n v="1500"/>
    <n v="1"/>
    <n v="46160"/>
    <n v="46160"/>
  </r>
  <r>
    <x v="1"/>
    <x v="1"/>
    <x v="101"/>
    <x v="0"/>
    <x v="0"/>
    <n v="1"/>
    <n v="39200"/>
    <n v="76.2"/>
    <n v="1900"/>
    <n v="485"/>
    <n v="800"/>
    <n v="0.79"/>
    <n v="33484.15"/>
    <n v="42385"/>
  </r>
  <r>
    <x v="1"/>
    <x v="98"/>
    <x v="102"/>
    <x v="39"/>
    <x v="1"/>
    <n v="3"/>
    <n v="28500"/>
    <n v="65.8"/>
    <n v="950"/>
    <n v="485"/>
    <n v="800"/>
    <n v="0.79"/>
    <n v="24280.65"/>
    <n v="30735"/>
  </r>
  <r>
    <x v="1"/>
    <x v="99"/>
    <x v="103"/>
    <x v="1"/>
    <x v="0"/>
    <n v="1"/>
    <n v="36800"/>
    <n v="67.2"/>
    <n v="1000"/>
    <n v="485"/>
    <n v="800"/>
    <n v="0.79"/>
    <n v="30877.15"/>
    <n v="39085"/>
  </r>
  <r>
    <x v="1"/>
    <x v="100"/>
    <x v="104"/>
    <x v="6"/>
    <x v="2"/>
    <n v="3"/>
    <n v="27900"/>
    <n v="64.5"/>
    <n v="850"/>
    <n v="485"/>
    <n v="800"/>
    <n v="0.79"/>
    <n v="23727.65"/>
    <n v="30035"/>
  </r>
  <r>
    <x v="1"/>
    <x v="101"/>
    <x v="105"/>
    <x v="12"/>
    <x v="1"/>
    <n v="3"/>
    <n v="29500"/>
    <n v="66.8"/>
    <n v="950"/>
    <n v="485"/>
    <n v="800"/>
    <n v="0.79"/>
    <n v="25070.65"/>
    <n v="31735"/>
  </r>
  <r>
    <x v="1"/>
    <x v="102"/>
    <x v="106"/>
    <x v="48"/>
    <x v="0"/>
    <n v="1"/>
    <n v="32400"/>
    <n v="65.900000000000006"/>
    <n v="900"/>
    <n v="485"/>
    <n v="800"/>
    <n v="0.79"/>
    <n v="27322.15"/>
    <n v="34585"/>
  </r>
  <r>
    <x v="1"/>
    <x v="103"/>
    <x v="107"/>
    <x v="0"/>
    <x v="1"/>
    <n v="3"/>
    <n v="28900"/>
    <n v="64.8"/>
    <n v="850"/>
    <n v="485"/>
    <n v="800"/>
    <n v="0.79"/>
    <n v="24517.65"/>
    <n v="31035"/>
  </r>
  <r>
    <x v="1"/>
    <x v="104"/>
    <x v="108"/>
    <x v="42"/>
    <x v="0"/>
    <n v="1"/>
    <n v="31200"/>
    <n v="64.2"/>
    <n v="800"/>
    <n v="485"/>
    <n v="800"/>
    <n v="0.79"/>
    <n v="26295.15"/>
    <n v="33285"/>
  </r>
  <r>
    <x v="1"/>
    <x v="105"/>
    <x v="109"/>
    <x v="49"/>
    <x v="1"/>
    <n v="3"/>
    <n v="27500"/>
    <n v="63.5"/>
    <n v="750"/>
    <n v="485"/>
    <n v="800"/>
    <n v="0.79"/>
    <n v="23332.65"/>
    <n v="29535"/>
  </r>
  <r>
    <x v="1"/>
    <x v="72"/>
    <x v="110"/>
    <x v="14"/>
    <x v="0"/>
    <n v="1"/>
    <n v="30800"/>
    <n v="64.599999999999994"/>
    <n v="800"/>
    <n v="485"/>
    <n v="800"/>
    <n v="0.79"/>
    <n v="25979.15"/>
    <n v="32885"/>
  </r>
  <r>
    <x v="2"/>
    <x v="106"/>
    <x v="111"/>
    <x v="39"/>
    <x v="1"/>
    <n v="4"/>
    <n v="32500"/>
    <n v="68.5"/>
    <n v="1200"/>
    <n v="235"/>
    <n v="900"/>
    <n v="1.35"/>
    <n v="47027.25"/>
    <n v="34835"/>
  </r>
  <r>
    <x v="2"/>
    <x v="107"/>
    <x v="112"/>
    <x v="0"/>
    <x v="0"/>
    <n v="2"/>
    <n v="29800"/>
    <n v="65.8"/>
    <n v="1100"/>
    <n v="235"/>
    <n v="900"/>
    <n v="1.35"/>
    <n v="43247.25"/>
    <n v="32035"/>
  </r>
  <r>
    <x v="2"/>
    <x v="108"/>
    <x v="113"/>
    <x v="1"/>
    <x v="0"/>
    <n v="2"/>
    <n v="28500"/>
    <n v="64.5"/>
    <n v="1200"/>
    <n v="235"/>
    <n v="900"/>
    <n v="1.35"/>
    <n v="41627.25"/>
    <n v="30835"/>
  </r>
  <r>
    <x v="2"/>
    <x v="109"/>
    <x v="114"/>
    <x v="12"/>
    <x v="1"/>
    <n v="4"/>
    <n v="27900"/>
    <n v="69.2"/>
    <n v="1300"/>
    <n v="235"/>
    <n v="900"/>
    <n v="1.35"/>
    <n v="40952.25"/>
    <n v="30335"/>
  </r>
  <r>
    <x v="2"/>
    <x v="110"/>
    <x v="115"/>
    <x v="6"/>
    <x v="0"/>
    <n v="2"/>
    <n v="21500"/>
    <n v="63.8"/>
    <n v="900"/>
    <n v="235"/>
    <n v="900"/>
    <n v="1.35"/>
    <n v="31772.250000000004"/>
    <n v="23535"/>
  </r>
  <r>
    <x v="2"/>
    <x v="111"/>
    <x v="116"/>
    <x v="0"/>
    <x v="1"/>
    <n v="4"/>
    <n v="26800"/>
    <n v="62.5"/>
    <n v="950"/>
    <n v="235"/>
    <n v="900"/>
    <n v="1.35"/>
    <n v="38994.75"/>
    <n v="28885"/>
  </r>
  <r>
    <x v="2"/>
    <x v="112"/>
    <x v="117"/>
    <x v="45"/>
    <x v="1"/>
    <n v="4"/>
    <n v="25500"/>
    <n v="61.8"/>
    <n v="900"/>
    <n v="235"/>
    <n v="900"/>
    <n v="1.35"/>
    <n v="37172.25"/>
    <n v="27535"/>
  </r>
  <r>
    <x v="2"/>
    <x v="113"/>
    <x v="118"/>
    <x v="0"/>
    <x v="0"/>
    <n v="2"/>
    <n v="19800"/>
    <n v="63.2"/>
    <n v="950"/>
    <n v="235"/>
    <n v="900"/>
    <n v="1.35"/>
    <n v="29544.750000000004"/>
    <n v="21885"/>
  </r>
  <r>
    <x v="2"/>
    <x v="114"/>
    <x v="119"/>
    <x v="14"/>
    <x v="0"/>
    <n v="2"/>
    <n v="24500"/>
    <n v="62.8"/>
    <n v="1000"/>
    <n v="235"/>
    <n v="900"/>
    <n v="1.35"/>
    <n v="35957.25"/>
    <n v="26635"/>
  </r>
  <r>
    <x v="2"/>
    <x v="115"/>
    <x v="120"/>
    <x v="12"/>
    <x v="2"/>
    <n v="4"/>
    <n v="20500"/>
    <n v="61.5"/>
    <n v="850"/>
    <n v="235"/>
    <n v="900"/>
    <n v="1.35"/>
    <n v="30354.750000000004"/>
    <n v="22485"/>
  </r>
  <r>
    <x v="0"/>
    <x v="116"/>
    <x v="121"/>
    <x v="0"/>
    <x v="0"/>
    <n v="2"/>
    <n v="51200"/>
    <n v="72.400000000000006"/>
    <n v="1800"/>
    <n v="160"/>
    <n v="1500"/>
    <n v="1"/>
    <n v="54660"/>
    <n v="54660"/>
  </r>
  <r>
    <x v="0"/>
    <x v="117"/>
    <x v="122"/>
    <x v="0"/>
    <x v="2"/>
    <n v="5"/>
    <n v="45800"/>
    <n v="68.5"/>
    <n v="1400"/>
    <n v="160"/>
    <n v="1500"/>
    <n v="1"/>
    <n v="48860"/>
    <n v="48860"/>
  </r>
  <r>
    <x v="2"/>
    <x v="118"/>
    <x v="123"/>
    <x v="39"/>
    <x v="1"/>
    <n v="4"/>
    <n v="26500"/>
    <n v="69.2"/>
    <n v="1300"/>
    <n v="235"/>
    <n v="900"/>
    <n v="1.35"/>
    <n v="39062.25"/>
    <n v="28935"/>
  </r>
  <r>
    <x v="30"/>
    <x v="119"/>
    <x v="124"/>
    <x v="0"/>
    <x v="0"/>
    <n v="2"/>
    <n v="0"/>
    <n v="48.5"/>
    <n v="600"/>
    <n v="160"/>
    <n v="400"/>
    <n v="4.95"/>
    <n v="5742"/>
    <n v="1160"/>
  </r>
  <r>
    <x v="31"/>
    <x v="120"/>
    <x v="125"/>
    <x v="12"/>
    <x v="1"/>
    <n v="4"/>
    <n v="1800"/>
    <n v="42.8"/>
    <n v="450"/>
    <n v="100"/>
    <n v="300"/>
    <n v="30.5"/>
    <n v="80825"/>
    <n v="2650"/>
  </r>
  <r>
    <x v="32"/>
    <x v="121"/>
    <x v="126"/>
    <x v="50"/>
    <x v="0"/>
    <n v="2"/>
    <n v="3900"/>
    <n v="51.2"/>
    <n v="700"/>
    <n v="120"/>
    <n v="350"/>
    <n v="92.8"/>
    <n v="470496"/>
    <n v="5070"/>
  </r>
  <r>
    <x v="33"/>
    <x v="122"/>
    <x v="127"/>
    <x v="12"/>
    <x v="1"/>
    <n v="4"/>
    <n v="800"/>
    <n v="44.6"/>
    <n v="500"/>
    <n v="160"/>
    <n v="400"/>
    <n v="17.2"/>
    <n v="31992"/>
    <n v="1860"/>
  </r>
  <r>
    <x v="34"/>
    <x v="123"/>
    <x v="128"/>
    <x v="39"/>
    <x v="0"/>
    <n v="2"/>
    <n v="2500"/>
    <n v="54.8"/>
    <n v="550"/>
    <n v="120"/>
    <n v="400"/>
    <n v="0.92"/>
    <n v="3284.4"/>
    <n v="3570"/>
  </r>
  <r>
    <x v="35"/>
    <x v="124"/>
    <x v="129"/>
    <x v="0"/>
    <x v="1"/>
    <n v="4"/>
    <n v="3800"/>
    <n v="46.5"/>
    <n v="450"/>
    <n v="140"/>
    <n v="300"/>
    <n v="35.200000000000003"/>
    <n v="165088"/>
    <n v="4690"/>
  </r>
  <r>
    <x v="36"/>
    <x v="125"/>
    <x v="130"/>
    <x v="0"/>
    <x v="1"/>
    <n v="4"/>
    <n v="29500"/>
    <n v="72.400000000000006"/>
    <n v="1200"/>
    <n v="270"/>
    <n v="800"/>
    <n v="3.67"/>
    <n v="116595.9"/>
    <n v="31770"/>
  </r>
  <r>
    <x v="0"/>
    <x v="126"/>
    <x v="131"/>
    <x v="1"/>
    <x v="0"/>
    <n v="2"/>
    <n v="52800"/>
    <n v="100"/>
    <n v="2500"/>
    <n v="160"/>
    <n v="1500"/>
    <n v="1"/>
    <n v="56960"/>
    <n v="56960"/>
  </r>
  <r>
    <x v="0"/>
    <x v="127"/>
    <x v="132"/>
    <x v="0"/>
    <x v="2"/>
    <n v="5"/>
    <n v="49800"/>
    <n v="70.5"/>
    <n v="1600"/>
    <n v="160"/>
    <n v="1500"/>
    <n v="1"/>
    <n v="53060"/>
    <n v="53060"/>
  </r>
  <r>
    <x v="12"/>
    <x v="128"/>
    <x v="133"/>
    <x v="6"/>
    <x v="0"/>
    <n v="2"/>
    <n v="8200"/>
    <n v="58.4"/>
    <n v="800"/>
    <n v="140"/>
    <n v="400"/>
    <n v="7.18"/>
    <n v="68497.2"/>
    <n v="9540"/>
  </r>
  <r>
    <x v="37"/>
    <x v="129"/>
    <x v="134"/>
    <x v="0"/>
    <x v="1"/>
    <n v="3"/>
    <n v="5900"/>
    <n v="49.2"/>
    <n v="600"/>
    <n v="140"/>
    <n v="400"/>
    <n v="18.72"/>
    <n v="131788.79999999999"/>
    <n v="7040"/>
  </r>
  <r>
    <x v="38"/>
    <x v="130"/>
    <x v="135"/>
    <x v="12"/>
    <x v="1"/>
    <n v="4"/>
    <n v="19800"/>
    <n v="38.4"/>
    <n v="450"/>
    <n v="130"/>
    <n v="350"/>
    <n v="30.9"/>
    <n v="640557"/>
    <n v="20730"/>
  </r>
  <r>
    <x v="39"/>
    <x v="131"/>
    <x v="136"/>
    <x v="39"/>
    <x v="1"/>
    <n v="5"/>
    <n v="0"/>
    <n v="42.6"/>
    <n v="400"/>
    <n v="150"/>
    <n v="300"/>
    <n v="821.5"/>
    <n v="698275"/>
    <n v="850"/>
  </r>
  <r>
    <x v="40"/>
    <x v="132"/>
    <x v="137"/>
    <x v="40"/>
    <x v="1"/>
    <n v="4"/>
    <n v="4200"/>
    <n v="45.8"/>
    <n v="500"/>
    <n v="130"/>
    <n v="300"/>
    <n v="15640"/>
    <n v="80233200"/>
    <n v="5130"/>
  </r>
  <r>
    <x v="41"/>
    <x v="133"/>
    <x v="138"/>
    <x v="0"/>
    <x v="0"/>
    <n v="2"/>
    <n v="7800"/>
    <n v="52.4"/>
    <n v="800"/>
    <n v="250"/>
    <n v="600"/>
    <n v="3.75"/>
    <n v="35437.5"/>
    <n v="9450"/>
  </r>
  <r>
    <x v="42"/>
    <x v="134"/>
    <x v="139"/>
    <x v="12"/>
    <x v="1"/>
    <n v="4"/>
    <n v="2500"/>
    <n v="40.200000000000003"/>
    <n v="400"/>
    <n v="180"/>
    <n v="300"/>
    <n v="860.2"/>
    <n v="2907476"/>
    <n v="3380"/>
  </r>
  <r>
    <x v="43"/>
    <x v="135"/>
    <x v="140"/>
    <x v="39"/>
    <x v="1"/>
    <n v="4"/>
    <n v="3200"/>
    <n v="43.6"/>
    <n v="450"/>
    <n v="120"/>
    <n v="250"/>
    <n v="24450"/>
    <n v="98289000"/>
    <n v="4020"/>
  </r>
  <r>
    <x v="6"/>
    <x v="136"/>
    <x v="141"/>
    <x v="0"/>
    <x v="0"/>
    <n v="2"/>
    <n v="15600"/>
    <n v="69.8"/>
    <n v="950"/>
    <n v="180"/>
    <n v="720"/>
    <n v="0.92"/>
    <n v="16054"/>
    <n v="17450"/>
  </r>
  <r>
    <x v="6"/>
    <x v="137"/>
    <x v="142"/>
    <x v="6"/>
    <x v="1"/>
    <n v="3"/>
    <n v="11200"/>
    <n v="65.400000000000006"/>
    <n v="750"/>
    <n v="180"/>
    <n v="720"/>
    <n v="0.92"/>
    <n v="11822"/>
    <n v="12850"/>
  </r>
  <r>
    <x v="6"/>
    <x v="138"/>
    <x v="143"/>
    <x v="43"/>
    <x v="0"/>
    <n v="2"/>
    <n v="14800"/>
    <n v="66.8"/>
    <n v="800"/>
    <n v="180"/>
    <n v="720"/>
    <n v="0.92"/>
    <n v="15180"/>
    <n v="16500"/>
  </r>
  <r>
    <x v="6"/>
    <x v="139"/>
    <x v="144"/>
    <x v="1"/>
    <x v="1"/>
    <n v="3"/>
    <n v="11500"/>
    <n v="67.2"/>
    <n v="850"/>
    <n v="180"/>
    <n v="720"/>
    <n v="0.92"/>
    <n v="12190"/>
    <n v="13250"/>
  </r>
  <r>
    <x v="6"/>
    <x v="140"/>
    <x v="145"/>
    <x v="51"/>
    <x v="0"/>
    <n v="2"/>
    <n v="14500"/>
    <n v="66.5"/>
    <n v="800"/>
    <n v="180"/>
    <n v="720"/>
    <n v="0.92"/>
    <n v="14904"/>
    <n v="16200"/>
  </r>
  <r>
    <x v="6"/>
    <x v="141"/>
    <x v="146"/>
    <x v="40"/>
    <x v="1"/>
    <n v="3"/>
    <n v="11300"/>
    <n v="65.8"/>
    <n v="750"/>
    <n v="180"/>
    <n v="720"/>
    <n v="0.92"/>
    <n v="11914"/>
    <n v="12950"/>
  </r>
  <r>
    <x v="6"/>
    <x v="142"/>
    <x v="147"/>
    <x v="52"/>
    <x v="0"/>
    <n v="2"/>
    <n v="15200"/>
    <n v="70.2"/>
    <n v="1000"/>
    <n v="180"/>
    <n v="720"/>
    <n v="0.92"/>
    <n v="15732"/>
    <n v="17100"/>
  </r>
  <r>
    <x v="6"/>
    <x v="143"/>
    <x v="148"/>
    <x v="12"/>
    <x v="1"/>
    <n v="3"/>
    <n v="11400"/>
    <n v="69.5"/>
    <n v="950"/>
    <n v="180"/>
    <n v="720"/>
    <n v="0.92"/>
    <n v="12190"/>
    <n v="13250"/>
  </r>
  <r>
    <x v="6"/>
    <x v="144"/>
    <x v="149"/>
    <x v="11"/>
    <x v="0"/>
    <n v="2"/>
    <n v="14900"/>
    <n v="65.2"/>
    <n v="750"/>
    <n v="180"/>
    <n v="720"/>
    <n v="0.92"/>
    <n v="15226"/>
    <n v="16550"/>
  </r>
  <r>
    <x v="6"/>
    <x v="6"/>
    <x v="150"/>
    <x v="2"/>
    <x v="0"/>
    <n v="2"/>
    <n v="15400"/>
    <n v="73.5"/>
    <n v="1100"/>
    <n v="180"/>
    <n v="720"/>
    <n v="0.92"/>
    <n v="16008"/>
    <n v="17400"/>
  </r>
  <r>
    <x v="7"/>
    <x v="7"/>
    <x v="151"/>
    <x v="0"/>
    <x v="1"/>
    <n v="4"/>
    <n v="32500"/>
    <n v="81.099999999999994"/>
    <n v="1500"/>
    <n v="90"/>
    <n v="800"/>
    <n v="1.34"/>
    <n v="46752.600000000006"/>
    <n v="34890"/>
  </r>
  <r>
    <x v="7"/>
    <x v="7"/>
    <x v="152"/>
    <x v="40"/>
    <x v="1"/>
    <n v="4"/>
    <n v="31800"/>
    <n v="81.099999999999994"/>
    <n v="1500"/>
    <n v="90"/>
    <n v="800"/>
    <n v="1.34"/>
    <n v="45814.600000000006"/>
    <n v="34190"/>
  </r>
  <r>
    <x v="7"/>
    <x v="7"/>
    <x v="153"/>
    <x v="53"/>
    <x v="1"/>
    <n v="4"/>
    <n v="31200"/>
    <n v="81.099999999999994"/>
    <n v="1500"/>
    <n v="90"/>
    <n v="800"/>
    <n v="1.34"/>
    <n v="45010.600000000006"/>
    <n v="33590"/>
  </r>
  <r>
    <x v="7"/>
    <x v="7"/>
    <x v="154"/>
    <x v="39"/>
    <x v="1"/>
    <n v="4"/>
    <n v="29800"/>
    <n v="81.099999999999994"/>
    <n v="1500"/>
    <n v="90"/>
    <n v="800"/>
    <n v="1.34"/>
    <n v="43134.600000000006"/>
    <n v="32190"/>
  </r>
  <r>
    <x v="7"/>
    <x v="7"/>
    <x v="155"/>
    <x v="6"/>
    <x v="0"/>
    <n v="2"/>
    <n v="35600"/>
    <n v="81.099999999999994"/>
    <n v="1500"/>
    <n v="90"/>
    <n v="800"/>
    <n v="1.34"/>
    <n v="50906.600000000006"/>
    <n v="37990"/>
  </r>
  <r>
    <x v="7"/>
    <x v="7"/>
    <x v="156"/>
    <x v="54"/>
    <x v="0"/>
    <n v="2"/>
    <n v="34900"/>
    <n v="81.099999999999994"/>
    <n v="1500"/>
    <n v="90"/>
    <n v="800"/>
    <n v="1.34"/>
    <n v="49968.600000000006"/>
    <n v="37290"/>
  </r>
  <r>
    <x v="7"/>
    <x v="7"/>
    <x v="153"/>
    <x v="55"/>
    <x v="0"/>
    <n v="2"/>
    <n v="33800"/>
    <n v="81.099999999999994"/>
    <n v="1500"/>
    <n v="90"/>
    <n v="800"/>
    <n v="1.34"/>
    <n v="48494.600000000006"/>
    <n v="36190"/>
  </r>
  <r>
    <x v="7"/>
    <x v="7"/>
    <x v="157"/>
    <x v="56"/>
    <x v="0"/>
    <n v="2"/>
    <n v="34200"/>
    <n v="81.099999999999994"/>
    <n v="1500"/>
    <n v="90"/>
    <n v="800"/>
    <n v="1.34"/>
    <n v="49030.600000000006"/>
    <n v="36590"/>
  </r>
  <r>
    <x v="7"/>
    <x v="7"/>
    <x v="155"/>
    <x v="12"/>
    <x v="2"/>
    <n v="4"/>
    <n v="38500"/>
    <n v="81.099999999999994"/>
    <n v="1500"/>
    <n v="90"/>
    <n v="800"/>
    <n v="1.34"/>
    <n v="54792.600000000006"/>
    <n v="40890"/>
  </r>
  <r>
    <x v="7"/>
    <x v="7"/>
    <x v="156"/>
    <x v="57"/>
    <x v="2"/>
    <n v="4"/>
    <n v="37900"/>
    <n v="81.099999999999994"/>
    <n v="1500"/>
    <n v="90"/>
    <n v="800"/>
    <n v="1.34"/>
    <n v="53988.600000000006"/>
    <n v="40290"/>
  </r>
  <r>
    <x v="8"/>
    <x v="8"/>
    <x v="158"/>
    <x v="0"/>
    <x v="0"/>
    <n v="2"/>
    <n v="15600"/>
    <n v="74.599999999999994"/>
    <n v="1500"/>
    <n v="99"/>
    <n v="650"/>
    <n v="0.92"/>
    <n v="16421.080000000002"/>
    <n v="17849"/>
  </r>
  <r>
    <x v="8"/>
    <x v="145"/>
    <x v="159"/>
    <x v="39"/>
    <x v="1"/>
    <n v="3"/>
    <n v="4200"/>
    <n v="65.8"/>
    <n v="750"/>
    <n v="99"/>
    <n v="650"/>
    <n v="0.92"/>
    <n v="5243.08"/>
    <n v="5699"/>
  </r>
  <r>
    <x v="8"/>
    <x v="146"/>
    <x v="160"/>
    <x v="1"/>
    <x v="0"/>
    <n v="2"/>
    <n v="4800"/>
    <n v="68.5"/>
    <n v="850"/>
    <n v="99"/>
    <n v="650"/>
    <n v="0.92"/>
    <n v="5887.08"/>
    <n v="6399"/>
  </r>
  <r>
    <x v="8"/>
    <x v="147"/>
    <x v="161"/>
    <x v="6"/>
    <x v="0"/>
    <n v="2"/>
    <n v="4500"/>
    <n v="66.400000000000006"/>
    <n v="800"/>
    <n v="99"/>
    <n v="650"/>
    <n v="0.92"/>
    <n v="5565.08"/>
    <n v="6049"/>
  </r>
  <r>
    <x v="8"/>
    <x v="148"/>
    <x v="162"/>
    <x v="12"/>
    <x v="1"/>
    <n v="3"/>
    <n v="3900"/>
    <n v="69.2"/>
    <n v="900"/>
    <n v="99"/>
    <n v="650"/>
    <n v="0.92"/>
    <n v="5105.08"/>
    <n v="5549"/>
  </r>
  <r>
    <x v="8"/>
    <x v="149"/>
    <x v="163"/>
    <x v="40"/>
    <x v="0"/>
    <n v="2"/>
    <n v="4200"/>
    <n v="67.8"/>
    <n v="850"/>
    <n v="99"/>
    <n v="650"/>
    <n v="0.92"/>
    <n v="5335.08"/>
    <n v="5799"/>
  </r>
  <r>
    <x v="8"/>
    <x v="150"/>
    <x v="164"/>
    <x v="42"/>
    <x v="1"/>
    <n v="3"/>
    <n v="3800"/>
    <n v="65.5"/>
    <n v="750"/>
    <n v="99"/>
    <n v="650"/>
    <n v="0.92"/>
    <n v="4875.08"/>
    <n v="5299"/>
  </r>
  <r>
    <x v="8"/>
    <x v="151"/>
    <x v="165"/>
    <x v="48"/>
    <x v="0"/>
    <n v="2"/>
    <n v="4500"/>
    <n v="64.8"/>
    <n v="700"/>
    <n v="99"/>
    <n v="650"/>
    <n v="0.92"/>
    <n v="5473.08"/>
    <n v="5949"/>
  </r>
  <r>
    <x v="8"/>
    <x v="152"/>
    <x v="166"/>
    <x v="58"/>
    <x v="1"/>
    <n v="3"/>
    <n v="3900"/>
    <n v="66.2"/>
    <n v="800"/>
    <n v="99"/>
    <n v="650"/>
    <n v="0.92"/>
    <n v="5013.08"/>
    <n v="5449"/>
  </r>
  <r>
    <x v="8"/>
    <x v="153"/>
    <x v="167"/>
    <x v="44"/>
    <x v="0"/>
    <n v="2"/>
    <n v="4100"/>
    <n v="65.900000000000006"/>
    <n v="750"/>
    <n v="99"/>
    <n v="650"/>
    <n v="0.92"/>
    <n v="5151.08"/>
    <n v="5599"/>
  </r>
  <r>
    <x v="9"/>
    <x v="154"/>
    <x v="168"/>
    <x v="0"/>
    <x v="0"/>
    <n v="2"/>
    <n v="1460"/>
    <n v="89.8"/>
    <n v="1900"/>
    <n v="88"/>
    <n v="1200"/>
    <n v="0.89"/>
    <n v="4136.72"/>
    <n v="4648"/>
  </r>
  <r>
    <x v="9"/>
    <x v="155"/>
    <x v="169"/>
    <x v="1"/>
    <x v="1"/>
    <n v="3"/>
    <n v="1380"/>
    <n v="90.5"/>
    <n v="2000"/>
    <n v="88"/>
    <n v="1200"/>
    <n v="0.89"/>
    <n v="4154.5200000000004"/>
    <n v="4668"/>
  </r>
  <r>
    <x v="9"/>
    <x v="156"/>
    <x v="170"/>
    <x v="39"/>
    <x v="0"/>
    <n v="2"/>
    <n v="1420"/>
    <n v="85.4"/>
    <n v="1700"/>
    <n v="88"/>
    <n v="1200"/>
    <n v="0.89"/>
    <n v="3923.12"/>
    <n v="4408"/>
  </r>
  <r>
    <x v="9"/>
    <x v="157"/>
    <x v="171"/>
    <x v="59"/>
    <x v="1"/>
    <n v="3"/>
    <n v="1440"/>
    <n v="86.2"/>
    <n v="1600"/>
    <n v="88"/>
    <n v="1200"/>
    <n v="0.89"/>
    <n v="3851.92"/>
    <n v="4328"/>
  </r>
  <r>
    <x v="9"/>
    <x v="158"/>
    <x v="172"/>
    <x v="6"/>
    <x v="0"/>
    <n v="2"/>
    <n v="1460"/>
    <n v="84.5"/>
    <n v="1500"/>
    <n v="88"/>
    <n v="1200"/>
    <n v="0.89"/>
    <n v="3780.7200000000003"/>
    <n v="4248"/>
  </r>
  <r>
    <x v="9"/>
    <x v="159"/>
    <x v="173"/>
    <x v="12"/>
    <x v="1"/>
    <n v="3"/>
    <n v="1380"/>
    <n v="83.8"/>
    <n v="1400"/>
    <n v="88"/>
    <n v="1200"/>
    <n v="0.89"/>
    <n v="3620.52"/>
    <n v="4068"/>
  </r>
  <r>
    <x v="9"/>
    <x v="160"/>
    <x v="174"/>
    <x v="40"/>
    <x v="0"/>
    <n v="2"/>
    <n v="1420"/>
    <n v="84.2"/>
    <n v="1500"/>
    <n v="88"/>
    <n v="1200"/>
    <n v="0.89"/>
    <n v="3745.12"/>
    <n v="4208"/>
  </r>
  <r>
    <x v="9"/>
    <x v="33"/>
    <x v="175"/>
    <x v="60"/>
    <x v="0"/>
    <n v="2"/>
    <n v="1440"/>
    <n v="87.5"/>
    <n v="1800"/>
    <n v="88"/>
    <n v="1200"/>
    <n v="0.89"/>
    <n v="4029.92"/>
    <n v="4528"/>
  </r>
  <r>
    <x v="9"/>
    <x v="161"/>
    <x v="176"/>
    <x v="61"/>
    <x v="1"/>
    <n v="3"/>
    <n v="1380"/>
    <n v="85.8"/>
    <n v="1600"/>
    <n v="88"/>
    <n v="1200"/>
    <n v="0.89"/>
    <n v="3798.52"/>
    <n v="4268"/>
  </r>
  <r>
    <x v="9"/>
    <x v="162"/>
    <x v="177"/>
    <x v="44"/>
    <x v="0"/>
    <n v="2"/>
    <n v="1460"/>
    <n v="86.4"/>
    <n v="1700"/>
    <n v="88"/>
    <n v="1200"/>
    <n v="0.89"/>
    <n v="3958.7200000000003"/>
    <n v="4448"/>
  </r>
  <r>
    <x v="11"/>
    <x v="11"/>
    <x v="11"/>
    <x v="0"/>
    <x v="0"/>
    <n v="2"/>
    <n v="8800"/>
    <n v="83.2"/>
    <n v="1500"/>
    <n v="110"/>
    <n v="600"/>
    <n v="0.15"/>
    <n v="1651.5"/>
    <n v="11010"/>
  </r>
  <r>
    <x v="11"/>
    <x v="163"/>
    <x v="178"/>
    <x v="1"/>
    <x v="0"/>
    <n v="2"/>
    <n v="8600"/>
    <n v="77.400000000000006"/>
    <n v="1200"/>
    <n v="110"/>
    <n v="600"/>
    <n v="0.15"/>
    <n v="1576.5"/>
    <n v="10510"/>
  </r>
  <r>
    <x v="11"/>
    <x v="43"/>
    <x v="45"/>
    <x v="39"/>
    <x v="0"/>
    <n v="2"/>
    <n v="8400"/>
    <n v="75.099999999999994"/>
    <n v="1000"/>
    <n v="110"/>
    <n v="600"/>
    <n v="0.15"/>
    <n v="1516.5"/>
    <n v="10110"/>
  </r>
  <r>
    <x v="12"/>
    <x v="12"/>
    <x v="12"/>
    <x v="0"/>
    <x v="0"/>
    <n v="3"/>
    <n v="8900"/>
    <n v="51.2"/>
    <n v="800"/>
    <n v="140"/>
    <n v="400"/>
    <n v="7.15"/>
    <n v="73216"/>
    <n v="10240"/>
  </r>
  <r>
    <x v="12"/>
    <x v="12"/>
    <x v="179"/>
    <x v="1"/>
    <x v="0"/>
    <n v="3"/>
    <n v="8500"/>
    <n v="51.2"/>
    <n v="750"/>
    <n v="140"/>
    <n v="400"/>
    <n v="7.15"/>
    <n v="69998.5"/>
    <n v="9790"/>
  </r>
  <r>
    <x v="12"/>
    <x v="164"/>
    <x v="180"/>
    <x v="39"/>
    <x v="0"/>
    <n v="2.5"/>
    <n v="7800"/>
    <n v="48.9"/>
    <n v="700"/>
    <n v="140"/>
    <n v="400"/>
    <n v="7.15"/>
    <n v="64636"/>
    <n v="9040"/>
  </r>
  <r>
    <x v="12"/>
    <x v="164"/>
    <x v="181"/>
    <x v="6"/>
    <x v="0"/>
    <n v="2.5"/>
    <n v="8200"/>
    <n v="48.9"/>
    <n v="720"/>
    <n v="140"/>
    <n v="400"/>
    <n v="7.15"/>
    <n v="67639"/>
    <n v="9460"/>
  </r>
  <r>
    <x v="12"/>
    <x v="165"/>
    <x v="182"/>
    <x v="12"/>
    <x v="0"/>
    <n v="3"/>
    <n v="7500"/>
    <n v="45.3"/>
    <n v="550"/>
    <n v="140"/>
    <n v="400"/>
    <n v="7.15"/>
    <n v="61418.5"/>
    <n v="8590"/>
  </r>
  <r>
    <x v="12"/>
    <x v="166"/>
    <x v="183"/>
    <x v="41"/>
    <x v="0"/>
    <n v="3"/>
    <n v="7200"/>
    <n v="44.1"/>
    <n v="500"/>
    <n v="140"/>
    <n v="400"/>
    <n v="7.15"/>
    <n v="58916"/>
    <n v="8240"/>
  </r>
  <r>
    <x v="12"/>
    <x v="167"/>
    <x v="184"/>
    <x v="0"/>
    <x v="0"/>
    <n v="3"/>
    <n v="6900"/>
    <n v="43.8"/>
    <n v="480"/>
    <n v="140"/>
    <n v="400"/>
    <n v="7.15"/>
    <n v="56628"/>
    <n v="7920"/>
  </r>
  <r>
    <x v="12"/>
    <x v="168"/>
    <x v="185"/>
    <x v="39"/>
    <x v="0"/>
    <n v="3"/>
    <n v="6500"/>
    <n v="41.2"/>
    <n v="450"/>
    <n v="140"/>
    <n v="400"/>
    <n v="7.15"/>
    <n v="53553.5"/>
    <n v="7490"/>
  </r>
  <r>
    <x v="12"/>
    <x v="169"/>
    <x v="186"/>
    <x v="1"/>
    <x v="0"/>
    <n v="3"/>
    <n v="6300"/>
    <n v="40.5"/>
    <n v="420"/>
    <n v="140"/>
    <n v="400"/>
    <n v="7.15"/>
    <n v="51909"/>
    <n v="7260"/>
  </r>
  <r>
    <x v="12"/>
    <x v="170"/>
    <x v="187"/>
    <x v="12"/>
    <x v="0"/>
    <n v="3"/>
    <n v="6100"/>
    <n v="39.799999999999997"/>
    <n v="400"/>
    <n v="140"/>
    <n v="400"/>
    <n v="7.15"/>
    <n v="50336"/>
    <n v="7040"/>
  </r>
  <r>
    <x v="13"/>
    <x v="13"/>
    <x v="13"/>
    <x v="0"/>
    <x v="0"/>
    <n v="2"/>
    <n v="7200"/>
    <n v="85.1"/>
    <n v="950"/>
    <n v="90"/>
    <n v="800"/>
    <n v="1300"/>
    <n v="11752000"/>
    <n v="9040"/>
  </r>
  <r>
    <x v="13"/>
    <x v="13"/>
    <x v="188"/>
    <x v="6"/>
    <x v="0"/>
    <n v="2"/>
    <n v="7000"/>
    <n v="85.1"/>
    <n v="920"/>
    <n v="90"/>
    <n v="800"/>
    <n v="1300"/>
    <n v="11453000"/>
    <n v="8810"/>
  </r>
  <r>
    <x v="13"/>
    <x v="13"/>
    <x v="189"/>
    <x v="1"/>
    <x v="0"/>
    <n v="2"/>
    <n v="6900"/>
    <n v="85.1"/>
    <n v="900"/>
    <n v="90"/>
    <n v="800"/>
    <n v="1300"/>
    <n v="11297000"/>
    <n v="8690"/>
  </r>
  <r>
    <x v="13"/>
    <x v="13"/>
    <x v="190"/>
    <x v="39"/>
    <x v="0"/>
    <n v="2"/>
    <n v="6500"/>
    <n v="85.1"/>
    <n v="850"/>
    <n v="90"/>
    <n v="800"/>
    <n v="1300"/>
    <n v="10712000"/>
    <n v="8240"/>
  </r>
  <r>
    <x v="13"/>
    <x v="13"/>
    <x v="191"/>
    <x v="12"/>
    <x v="0"/>
    <n v="2"/>
    <n v="6400"/>
    <n v="85.1"/>
    <n v="840"/>
    <n v="90"/>
    <n v="800"/>
    <n v="1300"/>
    <n v="10569000"/>
    <n v="8130"/>
  </r>
  <r>
    <x v="13"/>
    <x v="46"/>
    <x v="48"/>
    <x v="62"/>
    <x v="0"/>
    <n v="2"/>
    <n v="6800"/>
    <n v="75.400000000000006"/>
    <n v="700"/>
    <n v="90"/>
    <n v="800"/>
    <n v="1300"/>
    <n v="10907000"/>
    <n v="8390"/>
  </r>
  <r>
    <x v="13"/>
    <x v="46"/>
    <x v="192"/>
    <x v="40"/>
    <x v="0"/>
    <n v="2"/>
    <n v="5900"/>
    <n v="75.400000000000006"/>
    <n v="650"/>
    <n v="90"/>
    <n v="800"/>
    <n v="1300"/>
    <n v="9672000"/>
    <n v="7440"/>
  </r>
  <r>
    <x v="13"/>
    <x v="15"/>
    <x v="15"/>
    <x v="0"/>
    <x v="0"/>
    <n v="2"/>
    <n v="5800"/>
    <n v="73.2"/>
    <n v="600"/>
    <n v="90"/>
    <n v="800"/>
    <n v="1300"/>
    <n v="9477000"/>
    <n v="7290"/>
  </r>
  <r>
    <x v="13"/>
    <x v="15"/>
    <x v="193"/>
    <x v="39"/>
    <x v="0"/>
    <n v="2"/>
    <n v="5600"/>
    <n v="73.2"/>
    <n v="580"/>
    <n v="90"/>
    <n v="800"/>
    <n v="1300"/>
    <n v="9191000"/>
    <n v="7070"/>
  </r>
  <r>
    <x v="13"/>
    <x v="171"/>
    <x v="194"/>
    <x v="14"/>
    <x v="0"/>
    <n v="2"/>
    <n v="5500"/>
    <n v="71.8"/>
    <n v="550"/>
    <n v="90"/>
    <n v="800"/>
    <n v="1300"/>
    <n v="9022000"/>
    <n v="6940"/>
  </r>
  <r>
    <x v="13"/>
    <x v="171"/>
    <x v="195"/>
    <x v="12"/>
    <x v="0"/>
    <n v="2"/>
    <n v="5400"/>
    <n v="71.8"/>
    <n v="530"/>
    <n v="90"/>
    <n v="800"/>
    <n v="1300"/>
    <n v="8866000"/>
    <n v="6820"/>
  </r>
  <r>
    <x v="13"/>
    <x v="172"/>
    <x v="196"/>
    <x v="41"/>
    <x v="0"/>
    <n v="2"/>
    <n v="5300"/>
    <n v="70.5"/>
    <n v="520"/>
    <n v="90"/>
    <n v="800"/>
    <n v="1300"/>
    <n v="8723000"/>
    <n v="6710"/>
  </r>
  <r>
    <x v="13"/>
    <x v="172"/>
    <x v="197"/>
    <x v="0"/>
    <x v="0"/>
    <n v="2"/>
    <n v="5200"/>
    <n v="70.5"/>
    <n v="500"/>
    <n v="90"/>
    <n v="800"/>
    <n v="1300"/>
    <n v="8567000"/>
    <n v="6590"/>
  </r>
  <r>
    <x v="13"/>
    <x v="173"/>
    <x v="198"/>
    <x v="63"/>
    <x v="0"/>
    <n v="2"/>
    <n v="6100"/>
    <n v="72.3"/>
    <n v="580"/>
    <n v="90"/>
    <n v="800"/>
    <n v="1300"/>
    <n v="9841000"/>
    <n v="7570"/>
  </r>
  <r>
    <x v="13"/>
    <x v="173"/>
    <x v="199"/>
    <x v="45"/>
    <x v="0"/>
    <n v="2"/>
    <n v="5100"/>
    <n v="72.3"/>
    <n v="550"/>
    <n v="90"/>
    <n v="800"/>
    <n v="1300"/>
    <n v="8502000"/>
    <n v="6540"/>
  </r>
  <r>
    <x v="13"/>
    <x v="174"/>
    <x v="200"/>
    <x v="12"/>
    <x v="0"/>
    <n v="2"/>
    <n v="6300"/>
    <n v="71.2"/>
    <n v="570"/>
    <n v="90"/>
    <n v="800"/>
    <n v="1300"/>
    <n v="10088000"/>
    <n v="7760"/>
  </r>
  <r>
    <x v="13"/>
    <x v="175"/>
    <x v="201"/>
    <x v="1"/>
    <x v="0"/>
    <n v="2"/>
    <n v="5000"/>
    <n v="76.400000000000006"/>
    <n v="600"/>
    <n v="90"/>
    <n v="800"/>
    <n v="1300"/>
    <n v="8437000"/>
    <n v="6490"/>
  </r>
  <r>
    <x v="13"/>
    <x v="176"/>
    <x v="202"/>
    <x v="64"/>
    <x v="0"/>
    <n v="2"/>
    <n v="5900"/>
    <n v="77.8"/>
    <n v="650"/>
    <n v="90"/>
    <n v="800"/>
    <n v="1300"/>
    <n v="9672000"/>
    <n v="7440"/>
  </r>
  <r>
    <x v="13"/>
    <x v="46"/>
    <x v="203"/>
    <x v="65"/>
    <x v="0"/>
    <n v="2"/>
    <n v="4900"/>
    <n v="75.400000000000006"/>
    <n v="540"/>
    <n v="90"/>
    <n v="800"/>
    <n v="1300"/>
    <n v="8229000"/>
    <n v="6330"/>
  </r>
  <r>
    <x v="13"/>
    <x v="177"/>
    <x v="204"/>
    <x v="66"/>
    <x v="0"/>
    <n v="2"/>
    <n v="4800"/>
    <n v="70.099999999999994"/>
    <n v="520"/>
    <n v="90"/>
    <n v="800"/>
    <n v="1300"/>
    <n v="8073000"/>
    <n v="6210"/>
  </r>
  <r>
    <x v="0"/>
    <x v="29"/>
    <x v="29"/>
    <x v="0"/>
    <x v="1"/>
    <n v="4"/>
    <n v="57000"/>
    <n v="95.2"/>
    <n v="2400"/>
    <n v="160"/>
    <n v="1500"/>
    <n v="1"/>
    <n v="61060"/>
    <n v="61060"/>
  </r>
  <r>
    <x v="0"/>
    <x v="0"/>
    <x v="30"/>
    <x v="0"/>
    <x v="1"/>
    <n v="4"/>
    <n v="55800"/>
    <n v="83.5"/>
    <n v="2300"/>
    <n v="160"/>
    <n v="1500"/>
    <n v="1"/>
    <n v="59760"/>
    <n v="59760"/>
  </r>
  <r>
    <x v="0"/>
    <x v="178"/>
    <x v="205"/>
    <x v="0"/>
    <x v="1"/>
    <n v="4"/>
    <n v="54500"/>
    <n v="79.8"/>
    <n v="2100"/>
    <n v="160"/>
    <n v="1500"/>
    <n v="1"/>
    <n v="58260"/>
    <n v="58260"/>
  </r>
  <r>
    <x v="0"/>
    <x v="179"/>
    <x v="206"/>
    <x v="0"/>
    <x v="1"/>
    <n v="4"/>
    <n v="54000"/>
    <n v="81.2"/>
    <n v="2000"/>
    <n v="160"/>
    <n v="1500"/>
    <n v="1"/>
    <n v="57660"/>
    <n v="57660"/>
  </r>
  <r>
    <x v="0"/>
    <x v="88"/>
    <x v="91"/>
    <x v="0"/>
    <x v="1"/>
    <n v="4"/>
    <n v="53500"/>
    <n v="82.4"/>
    <n v="1900"/>
    <n v="160"/>
    <n v="1500"/>
    <n v="1"/>
    <n v="57060"/>
    <n v="57060"/>
  </r>
  <r>
    <x v="0"/>
    <x v="180"/>
    <x v="207"/>
    <x v="0"/>
    <x v="1"/>
    <n v="4"/>
    <n v="43000"/>
    <n v="88.7"/>
    <n v="2200"/>
    <n v="160"/>
    <n v="1500"/>
    <n v="1"/>
    <n v="46860"/>
    <n v="46860"/>
  </r>
  <r>
    <x v="0"/>
    <x v="48"/>
    <x v="50"/>
    <x v="0"/>
    <x v="1"/>
    <n v="4"/>
    <n v="43500"/>
    <n v="91.5"/>
    <n v="2300"/>
    <n v="160"/>
    <n v="1500"/>
    <n v="1"/>
    <n v="47460"/>
    <n v="47460"/>
  </r>
  <r>
    <x v="0"/>
    <x v="19"/>
    <x v="19"/>
    <x v="0"/>
    <x v="1"/>
    <n v="4"/>
    <n v="52000"/>
    <n v="75.400000000000006"/>
    <n v="1700"/>
    <n v="160"/>
    <n v="1500"/>
    <n v="1"/>
    <n v="55360"/>
    <n v="55360"/>
  </r>
  <r>
    <x v="0"/>
    <x v="21"/>
    <x v="208"/>
    <x v="0"/>
    <x v="1"/>
    <n v="4"/>
    <n v="40500"/>
    <n v="72.8"/>
    <n v="1800"/>
    <n v="160"/>
    <n v="1500"/>
    <n v="1"/>
    <n v="43960"/>
    <n v="43960"/>
  </r>
  <r>
    <x v="0"/>
    <x v="39"/>
    <x v="41"/>
    <x v="0"/>
    <x v="1"/>
    <n v="4"/>
    <n v="39800"/>
    <n v="85.6"/>
    <n v="2000"/>
    <n v="160"/>
    <n v="1500"/>
    <n v="1"/>
    <n v="43460"/>
    <n v="43460"/>
  </r>
  <r>
    <x v="0"/>
    <x v="93"/>
    <x v="209"/>
    <x v="0"/>
    <x v="1"/>
    <n v="4"/>
    <n v="37500"/>
    <n v="71.2"/>
    <n v="1600"/>
    <n v="160"/>
    <n v="1500"/>
    <n v="1"/>
    <n v="40760"/>
    <n v="40760"/>
  </r>
  <r>
    <x v="0"/>
    <x v="181"/>
    <x v="210"/>
    <x v="0"/>
    <x v="1"/>
    <n v="4"/>
    <n v="36800"/>
    <n v="70.5"/>
    <n v="1500"/>
    <n v="160"/>
    <n v="1500"/>
    <n v="1"/>
    <n v="39960"/>
    <n v="39960"/>
  </r>
  <r>
    <x v="0"/>
    <x v="20"/>
    <x v="20"/>
    <x v="0"/>
    <x v="1"/>
    <n v="4"/>
    <n v="33500"/>
    <n v="76.8"/>
    <n v="1700"/>
    <n v="160"/>
    <n v="1500"/>
    <n v="1"/>
    <n v="36860"/>
    <n v="36860"/>
  </r>
  <r>
    <x v="0"/>
    <x v="182"/>
    <x v="211"/>
    <x v="0"/>
    <x v="1"/>
    <n v="4"/>
    <n v="32800"/>
    <n v="71.400000000000006"/>
    <n v="1400"/>
    <n v="160"/>
    <n v="1500"/>
    <n v="1"/>
    <n v="35860"/>
    <n v="35860"/>
  </r>
  <r>
    <x v="0"/>
    <x v="183"/>
    <x v="212"/>
    <x v="0"/>
    <x v="1"/>
    <n v="4"/>
    <n v="31500"/>
    <n v="68.900000000000006"/>
    <n v="1300"/>
    <n v="160"/>
    <n v="1500"/>
    <n v="1"/>
    <n v="34460"/>
    <n v="34460"/>
  </r>
  <r>
    <x v="0"/>
    <x v="184"/>
    <x v="213"/>
    <x v="0"/>
    <x v="1"/>
    <n v="4"/>
    <n v="28500"/>
    <n v="70.2"/>
    <n v="1400"/>
    <n v="160"/>
    <n v="1500"/>
    <n v="1"/>
    <n v="31560"/>
    <n v="31560"/>
  </r>
  <r>
    <x v="0"/>
    <x v="94"/>
    <x v="97"/>
    <x v="0"/>
    <x v="1"/>
    <n v="4"/>
    <n v="28000"/>
    <n v="72.5"/>
    <n v="1500"/>
    <n v="160"/>
    <n v="1500"/>
    <n v="1"/>
    <n v="31160"/>
    <n v="31160"/>
  </r>
  <r>
    <x v="0"/>
    <x v="185"/>
    <x v="214"/>
    <x v="0"/>
    <x v="1"/>
    <n v="4"/>
    <n v="27500"/>
    <n v="71.8"/>
    <n v="1400"/>
    <n v="160"/>
    <n v="1500"/>
    <n v="1"/>
    <n v="30560"/>
    <n v="30560"/>
  </r>
  <r>
    <x v="0"/>
    <x v="186"/>
    <x v="215"/>
    <x v="0"/>
    <x v="1"/>
    <n v="4"/>
    <n v="27000"/>
    <n v="69.5"/>
    <n v="1300"/>
    <n v="160"/>
    <n v="1500"/>
    <n v="1"/>
    <n v="29960"/>
    <n v="29960"/>
  </r>
  <r>
    <x v="0"/>
    <x v="187"/>
    <x v="216"/>
    <x v="0"/>
    <x v="1"/>
    <n v="4"/>
    <n v="26500"/>
    <n v="70.099999999999994"/>
    <n v="1300"/>
    <n v="160"/>
    <n v="1500"/>
    <n v="1"/>
    <n v="29460"/>
    <n v="29460"/>
  </r>
  <r>
    <x v="1"/>
    <x v="0"/>
    <x v="32"/>
    <x v="0"/>
    <x v="1"/>
    <n v="3"/>
    <n v="38500"/>
    <n v="78.5"/>
    <n v="1800"/>
    <n v="490"/>
    <n v="800"/>
    <n v="0.79"/>
    <n v="32856.1"/>
    <n v="41590"/>
  </r>
  <r>
    <x v="1"/>
    <x v="31"/>
    <x v="31"/>
    <x v="0"/>
    <x v="1"/>
    <n v="3"/>
    <n v="37900"/>
    <n v="77.8"/>
    <n v="1850"/>
    <n v="490"/>
    <n v="800"/>
    <n v="0.79"/>
    <n v="32421.600000000002"/>
    <n v="41040"/>
  </r>
  <r>
    <x v="1"/>
    <x v="1"/>
    <x v="1"/>
    <x v="0"/>
    <x v="1"/>
    <n v="3"/>
    <n v="37500"/>
    <n v="83.2"/>
    <n v="2200"/>
    <n v="490"/>
    <n v="800"/>
    <n v="0.79"/>
    <n v="32382.100000000002"/>
    <n v="40990"/>
  </r>
  <r>
    <x v="1"/>
    <x v="1"/>
    <x v="101"/>
    <x v="0"/>
    <x v="1"/>
    <n v="3"/>
    <n v="36800"/>
    <n v="83.2"/>
    <n v="2100"/>
    <n v="490"/>
    <n v="800"/>
    <n v="0.79"/>
    <n v="31750.100000000002"/>
    <n v="40190"/>
  </r>
  <r>
    <x v="1"/>
    <x v="1"/>
    <x v="217"/>
    <x v="0"/>
    <x v="1"/>
    <n v="3"/>
    <n v="35500"/>
    <n v="83.2"/>
    <n v="2000"/>
    <n v="490"/>
    <n v="800"/>
    <n v="0.79"/>
    <n v="30644.100000000002"/>
    <n v="38790"/>
  </r>
  <r>
    <x v="1"/>
    <x v="188"/>
    <x v="218"/>
    <x v="0"/>
    <x v="1"/>
    <n v="4"/>
    <n v="32500"/>
    <n v="75.400000000000006"/>
    <n v="1600"/>
    <n v="490"/>
    <n v="800"/>
    <n v="0.79"/>
    <n v="27958.100000000002"/>
    <n v="35390"/>
  </r>
  <r>
    <x v="1"/>
    <x v="49"/>
    <x v="51"/>
    <x v="0"/>
    <x v="1"/>
    <n v="3"/>
    <n v="31800"/>
    <n v="72.099999999999994"/>
    <n v="1400"/>
    <n v="490"/>
    <n v="800"/>
    <n v="0.79"/>
    <n v="27247.100000000002"/>
    <n v="34490"/>
  </r>
  <r>
    <x v="1"/>
    <x v="22"/>
    <x v="22"/>
    <x v="0"/>
    <x v="1"/>
    <n v="3"/>
    <n v="31500"/>
    <n v="74.8"/>
    <n v="1500"/>
    <n v="490"/>
    <n v="800"/>
    <n v="0.79"/>
    <n v="27089.100000000002"/>
    <n v="34290"/>
  </r>
  <r>
    <x v="1"/>
    <x v="99"/>
    <x v="103"/>
    <x v="0"/>
    <x v="1"/>
    <n v="3"/>
    <n v="31200"/>
    <n v="71.5"/>
    <n v="1300"/>
    <n v="490"/>
    <n v="800"/>
    <n v="0.79"/>
    <n v="26694.100000000002"/>
    <n v="33790"/>
  </r>
  <r>
    <x v="1"/>
    <x v="41"/>
    <x v="43"/>
    <x v="0"/>
    <x v="1"/>
    <n v="4"/>
    <n v="30800"/>
    <n v="73.2"/>
    <n v="1400"/>
    <n v="490"/>
    <n v="800"/>
    <n v="0.79"/>
    <n v="26457.100000000002"/>
    <n v="33490"/>
  </r>
  <r>
    <x v="1"/>
    <x v="101"/>
    <x v="105"/>
    <x v="0"/>
    <x v="1"/>
    <n v="3"/>
    <n v="30500"/>
    <n v="71.8"/>
    <n v="1300"/>
    <n v="490"/>
    <n v="800"/>
    <n v="0.79"/>
    <n v="26141.100000000002"/>
    <n v="33090"/>
  </r>
  <r>
    <x v="1"/>
    <x v="98"/>
    <x v="102"/>
    <x v="0"/>
    <x v="1"/>
    <n v="3"/>
    <n v="30200"/>
    <n v="71.2"/>
    <n v="1250"/>
    <n v="490"/>
    <n v="800"/>
    <n v="0.79"/>
    <n v="25864.600000000002"/>
    <n v="32740"/>
  </r>
  <r>
    <x v="1"/>
    <x v="100"/>
    <x v="104"/>
    <x v="0"/>
    <x v="1"/>
    <n v="3"/>
    <n v="29800"/>
    <n v="70.5"/>
    <n v="1200"/>
    <n v="490"/>
    <n v="800"/>
    <n v="0.79"/>
    <n v="25509.100000000002"/>
    <n v="32290"/>
  </r>
  <r>
    <x v="1"/>
    <x v="103"/>
    <x v="107"/>
    <x v="0"/>
    <x v="1"/>
    <n v="3"/>
    <n v="29500"/>
    <n v="70.8"/>
    <n v="1150"/>
    <n v="490"/>
    <n v="800"/>
    <n v="0.79"/>
    <n v="25232.600000000002"/>
    <n v="31940"/>
  </r>
  <r>
    <x v="1"/>
    <x v="102"/>
    <x v="106"/>
    <x v="0"/>
    <x v="1"/>
    <n v="3"/>
    <n v="29200"/>
    <n v="72.400000000000006"/>
    <n v="1300"/>
    <n v="490"/>
    <n v="800"/>
    <n v="0.79"/>
    <n v="25114.100000000002"/>
    <n v="31790"/>
  </r>
  <r>
    <x v="1"/>
    <x v="92"/>
    <x v="219"/>
    <x v="0"/>
    <x v="1"/>
    <n v="3"/>
    <n v="28900"/>
    <n v="71.599999999999994"/>
    <n v="1250"/>
    <n v="490"/>
    <n v="800"/>
    <n v="0.79"/>
    <n v="24837.600000000002"/>
    <n v="31440"/>
  </r>
  <r>
    <x v="1"/>
    <x v="189"/>
    <x v="220"/>
    <x v="0"/>
    <x v="1"/>
    <n v="3"/>
    <n v="28600"/>
    <n v="70.2"/>
    <n v="1100"/>
    <n v="490"/>
    <n v="800"/>
    <n v="0.79"/>
    <n v="24482.100000000002"/>
    <n v="30990"/>
  </r>
  <r>
    <x v="1"/>
    <x v="104"/>
    <x v="108"/>
    <x v="0"/>
    <x v="1"/>
    <n v="3"/>
    <n v="28300"/>
    <n v="69.8"/>
    <n v="1050"/>
    <n v="490"/>
    <n v="800"/>
    <n v="0.79"/>
    <n v="24205.600000000002"/>
    <n v="30640"/>
  </r>
  <r>
    <x v="1"/>
    <x v="72"/>
    <x v="110"/>
    <x v="0"/>
    <x v="1"/>
    <n v="3"/>
    <n v="28000"/>
    <n v="70.099999999999994"/>
    <n v="1100"/>
    <n v="490"/>
    <n v="800"/>
    <n v="0.79"/>
    <n v="24008.100000000002"/>
    <n v="30390"/>
  </r>
  <r>
    <x v="1"/>
    <x v="190"/>
    <x v="221"/>
    <x v="0"/>
    <x v="1"/>
    <n v="4"/>
    <n v="27700"/>
    <n v="69.5"/>
    <n v="1000"/>
    <n v="490"/>
    <n v="800"/>
    <n v="0.79"/>
    <n v="23692.100000000002"/>
    <n v="29990"/>
  </r>
  <r>
    <x v="1"/>
    <x v="191"/>
    <x v="222"/>
    <x v="0"/>
    <x v="1"/>
    <n v="3"/>
    <n v="27400"/>
    <n v="68.900000000000006"/>
    <n v="950"/>
    <n v="490"/>
    <n v="800"/>
    <n v="0.79"/>
    <n v="23415.600000000002"/>
    <n v="29640"/>
  </r>
  <r>
    <x v="1"/>
    <x v="192"/>
    <x v="223"/>
    <x v="0"/>
    <x v="1"/>
    <n v="3"/>
    <n v="27100"/>
    <n v="71.2"/>
    <n v="1150"/>
    <n v="490"/>
    <n v="800"/>
    <n v="0.79"/>
    <n v="23336.600000000002"/>
    <n v="29540"/>
  </r>
  <r>
    <x v="1"/>
    <x v="193"/>
    <x v="224"/>
    <x v="0"/>
    <x v="1"/>
    <n v="3"/>
    <n v="26800"/>
    <n v="72.5"/>
    <n v="1200"/>
    <n v="490"/>
    <n v="800"/>
    <n v="0.79"/>
    <n v="23139.100000000002"/>
    <n v="29290"/>
  </r>
  <r>
    <x v="1"/>
    <x v="194"/>
    <x v="225"/>
    <x v="0"/>
    <x v="1"/>
    <n v="3"/>
    <n v="26500"/>
    <n v="69.8"/>
    <n v="1000"/>
    <n v="490"/>
    <n v="800"/>
    <n v="0.79"/>
    <n v="22744.100000000002"/>
    <n v="28790"/>
  </r>
  <r>
    <x v="1"/>
    <x v="195"/>
    <x v="226"/>
    <x v="0"/>
    <x v="1"/>
    <n v="3"/>
    <n v="26200"/>
    <n v="73.400000000000006"/>
    <n v="1250"/>
    <n v="490"/>
    <n v="800"/>
    <n v="0.79"/>
    <n v="22704.600000000002"/>
    <n v="28740"/>
  </r>
  <r>
    <x v="1"/>
    <x v="196"/>
    <x v="227"/>
    <x v="0"/>
    <x v="1"/>
    <n v="3"/>
    <n v="25900"/>
    <n v="71.8"/>
    <n v="1150"/>
    <n v="490"/>
    <n v="800"/>
    <n v="0.79"/>
    <n v="22388.600000000002"/>
    <n v="28340"/>
  </r>
  <r>
    <x v="1"/>
    <x v="197"/>
    <x v="228"/>
    <x v="0"/>
    <x v="1"/>
    <n v="3"/>
    <n v="25600"/>
    <n v="72.099999999999994"/>
    <n v="1200"/>
    <n v="490"/>
    <n v="800"/>
    <n v="0.79"/>
    <n v="22191.100000000002"/>
    <n v="28090"/>
  </r>
  <r>
    <x v="1"/>
    <x v="198"/>
    <x v="229"/>
    <x v="0"/>
    <x v="1"/>
    <n v="3"/>
    <n v="25300"/>
    <n v="70.5"/>
    <n v="1100"/>
    <n v="490"/>
    <n v="800"/>
    <n v="0.79"/>
    <n v="21875.100000000002"/>
    <n v="27690"/>
  </r>
  <r>
    <x v="1"/>
    <x v="199"/>
    <x v="230"/>
    <x v="0"/>
    <x v="1"/>
    <n v="4"/>
    <n v="25000"/>
    <n v="68.900000000000006"/>
    <n v="950"/>
    <n v="490"/>
    <n v="800"/>
    <n v="0.79"/>
    <n v="21519.600000000002"/>
    <n v="27240"/>
  </r>
  <r>
    <x v="1"/>
    <x v="200"/>
    <x v="231"/>
    <x v="0"/>
    <x v="1"/>
    <n v="4"/>
    <n v="24700"/>
    <n v="69.2"/>
    <n v="1000"/>
    <n v="490"/>
    <n v="800"/>
    <n v="0.79"/>
    <n v="21322.100000000002"/>
    <n v="26990"/>
  </r>
  <r>
    <x v="1"/>
    <x v="201"/>
    <x v="232"/>
    <x v="0"/>
    <x v="1"/>
    <n v="4"/>
    <n v="24400"/>
    <n v="69.5"/>
    <n v="1050"/>
    <n v="490"/>
    <n v="800"/>
    <n v="0.79"/>
    <n v="21124.600000000002"/>
    <n v="26740"/>
  </r>
  <r>
    <x v="1"/>
    <x v="202"/>
    <x v="233"/>
    <x v="0"/>
    <x v="1"/>
    <n v="3"/>
    <n v="24100"/>
    <n v="68.5"/>
    <n v="900"/>
    <n v="490"/>
    <n v="800"/>
    <n v="0.79"/>
    <n v="20769.100000000002"/>
    <n v="26290"/>
  </r>
  <r>
    <x v="1"/>
    <x v="203"/>
    <x v="234"/>
    <x v="0"/>
    <x v="1"/>
    <n v="3"/>
    <n v="23800"/>
    <n v="83.2"/>
    <n v="1800"/>
    <n v="490"/>
    <n v="800"/>
    <n v="0.79"/>
    <n v="21243.100000000002"/>
    <n v="26890"/>
  </r>
  <r>
    <x v="1"/>
    <x v="204"/>
    <x v="235"/>
    <x v="0"/>
    <x v="1"/>
    <n v="3"/>
    <n v="23500"/>
    <n v="83.2"/>
    <n v="1900"/>
    <n v="490"/>
    <n v="800"/>
    <n v="0.79"/>
    <n v="21085.100000000002"/>
    <n v="26690"/>
  </r>
  <r>
    <x v="1"/>
    <x v="205"/>
    <x v="236"/>
    <x v="0"/>
    <x v="1"/>
    <n v="3"/>
    <n v="23200"/>
    <n v="75.5"/>
    <n v="1400"/>
    <n v="490"/>
    <n v="800"/>
    <n v="0.79"/>
    <n v="20453.100000000002"/>
    <n v="25890"/>
  </r>
  <r>
    <x v="1"/>
    <x v="206"/>
    <x v="237"/>
    <x v="0"/>
    <x v="1"/>
    <n v="3"/>
    <n v="22900"/>
    <n v="69.8"/>
    <n v="1000"/>
    <n v="490"/>
    <n v="800"/>
    <n v="0.79"/>
    <n v="19900.100000000002"/>
    <n v="25190"/>
  </r>
  <r>
    <x v="1"/>
    <x v="207"/>
    <x v="238"/>
    <x v="0"/>
    <x v="1"/>
    <n v="3"/>
    <n v="22600"/>
    <n v="68.5"/>
    <n v="950"/>
    <n v="490"/>
    <n v="800"/>
    <n v="0.79"/>
    <n v="19623.600000000002"/>
    <n v="24840"/>
  </r>
  <r>
    <x v="1"/>
    <x v="208"/>
    <x v="239"/>
    <x v="0"/>
    <x v="1"/>
    <n v="3"/>
    <n v="22300"/>
    <n v="71.8"/>
    <n v="1200"/>
    <n v="490"/>
    <n v="800"/>
    <n v="0.79"/>
    <n v="19584.100000000002"/>
    <n v="24790"/>
  </r>
  <r>
    <x v="1"/>
    <x v="209"/>
    <x v="240"/>
    <x v="0"/>
    <x v="1"/>
    <n v="3"/>
    <n v="22000"/>
    <n v="67.900000000000006"/>
    <n v="850"/>
    <n v="490"/>
    <n v="800"/>
    <n v="0.79"/>
    <n v="19070.600000000002"/>
    <n v="24140"/>
  </r>
  <r>
    <x v="1"/>
    <x v="210"/>
    <x v="241"/>
    <x v="0"/>
    <x v="1"/>
    <n v="3"/>
    <n v="21700"/>
    <n v="67.5"/>
    <n v="800"/>
    <n v="490"/>
    <n v="800"/>
    <n v="0.79"/>
    <n v="18794.100000000002"/>
    <n v="23790"/>
  </r>
  <r>
    <x v="1"/>
    <x v="211"/>
    <x v="242"/>
    <x v="0"/>
    <x v="1"/>
    <n v="3"/>
    <n v="21400"/>
    <n v="69.2"/>
    <n v="950"/>
    <n v="490"/>
    <n v="800"/>
    <n v="0.79"/>
    <n v="18675.600000000002"/>
    <n v="23640"/>
  </r>
  <r>
    <x v="1"/>
    <x v="212"/>
    <x v="243"/>
    <x v="0"/>
    <x v="1"/>
    <n v="3"/>
    <n v="21100"/>
    <n v="70.5"/>
    <n v="1000"/>
    <n v="490"/>
    <n v="800"/>
    <n v="0.79"/>
    <n v="18478.100000000002"/>
    <n v="23390"/>
  </r>
  <r>
    <x v="1"/>
    <x v="213"/>
    <x v="244"/>
    <x v="0"/>
    <x v="1"/>
    <n v="3"/>
    <n v="20800"/>
    <n v="67.2"/>
    <n v="800"/>
    <n v="490"/>
    <n v="800"/>
    <n v="0.79"/>
    <n v="18083.100000000002"/>
    <n v="22890"/>
  </r>
  <r>
    <x v="1"/>
    <x v="214"/>
    <x v="245"/>
    <x v="0"/>
    <x v="1"/>
    <n v="3"/>
    <n v="20500"/>
    <n v="68.5"/>
    <n v="900"/>
    <n v="490"/>
    <n v="800"/>
    <n v="0.79"/>
    <n v="17925.100000000002"/>
    <n v="22690"/>
  </r>
  <r>
    <x v="1"/>
    <x v="215"/>
    <x v="246"/>
    <x v="0"/>
    <x v="1"/>
    <n v="3"/>
    <n v="20200"/>
    <n v="69.8"/>
    <n v="950"/>
    <n v="490"/>
    <n v="800"/>
    <n v="0.79"/>
    <n v="17727.600000000002"/>
    <n v="22440"/>
  </r>
  <r>
    <x v="1"/>
    <x v="216"/>
    <x v="247"/>
    <x v="0"/>
    <x v="1"/>
    <n v="3"/>
    <n v="19900"/>
    <n v="77.8"/>
    <n v="1500"/>
    <n v="490"/>
    <n v="800"/>
    <n v="0.79"/>
    <n v="17925.100000000002"/>
    <n v="22690"/>
  </r>
  <r>
    <x v="1"/>
    <x v="217"/>
    <x v="248"/>
    <x v="0"/>
    <x v="1"/>
    <n v="3"/>
    <n v="19600"/>
    <n v="68.900000000000006"/>
    <n v="900"/>
    <n v="490"/>
    <n v="800"/>
    <n v="0.79"/>
    <n v="17214.100000000002"/>
    <n v="21790"/>
  </r>
  <r>
    <x v="1"/>
    <x v="218"/>
    <x v="249"/>
    <x v="0"/>
    <x v="1"/>
    <n v="3"/>
    <n v="19300"/>
    <n v="83.2"/>
    <n v="1800"/>
    <n v="490"/>
    <n v="800"/>
    <n v="0.79"/>
    <n v="17688.100000000002"/>
    <n v="22390"/>
  </r>
  <r>
    <x v="1"/>
    <x v="219"/>
    <x v="250"/>
    <x v="0"/>
    <x v="1"/>
    <n v="3"/>
    <n v="19000"/>
    <n v="83.2"/>
    <n v="1700"/>
    <n v="490"/>
    <n v="800"/>
    <n v="0.79"/>
    <n v="17372.100000000002"/>
    <n v="21990"/>
  </r>
  <r>
    <x v="1"/>
    <x v="220"/>
    <x v="251"/>
    <x v="0"/>
    <x v="1"/>
    <n v="3"/>
    <n v="18700"/>
    <n v="83.2"/>
    <n v="1600"/>
    <n v="490"/>
    <n v="800"/>
    <n v="0.79"/>
    <n v="17056.100000000002"/>
    <n v="21590"/>
  </r>
  <r>
    <x v="2"/>
    <x v="2"/>
    <x v="2"/>
    <x v="0"/>
    <x v="1"/>
    <n v="4"/>
    <n v="45200"/>
    <n v="73.5"/>
    <n v="1800"/>
    <n v="235"/>
    <n v="600"/>
    <n v="1.35"/>
    <n v="64577.250000000007"/>
    <n v="47835"/>
  </r>
  <r>
    <x v="2"/>
    <x v="2"/>
    <x v="2"/>
    <x v="0"/>
    <x v="0"/>
    <n v="2"/>
    <n v="28500"/>
    <n v="73.5"/>
    <n v="1800"/>
    <n v="235"/>
    <n v="600"/>
    <n v="1.35"/>
    <n v="42032.25"/>
    <n v="31135"/>
  </r>
  <r>
    <x v="2"/>
    <x v="50"/>
    <x v="52"/>
    <x v="0"/>
    <x v="1"/>
    <n v="4"/>
    <n v="43800"/>
    <n v="71.2"/>
    <n v="1900"/>
    <n v="235"/>
    <n v="600"/>
    <n v="1.35"/>
    <n v="62822.250000000007"/>
    <n v="46535"/>
  </r>
  <r>
    <x v="2"/>
    <x v="50"/>
    <x v="52"/>
    <x v="0"/>
    <x v="0"/>
    <n v="2"/>
    <n v="27900"/>
    <n v="71.2"/>
    <n v="1900"/>
    <n v="235"/>
    <n v="600"/>
    <n v="1.35"/>
    <n v="41357.25"/>
    <n v="30635"/>
  </r>
  <r>
    <x v="2"/>
    <x v="221"/>
    <x v="252"/>
    <x v="0"/>
    <x v="1"/>
    <n v="4"/>
    <n v="41500"/>
    <n v="65.8"/>
    <n v="1500"/>
    <n v="235"/>
    <n v="600"/>
    <n v="1.35"/>
    <n v="59177.250000000007"/>
    <n v="43835"/>
  </r>
  <r>
    <x v="2"/>
    <x v="221"/>
    <x v="252"/>
    <x v="0"/>
    <x v="0"/>
    <n v="2"/>
    <n v="26800"/>
    <n v="65.8"/>
    <n v="1500"/>
    <n v="235"/>
    <n v="600"/>
    <n v="1.35"/>
    <n v="39332.25"/>
    <n v="29135"/>
  </r>
  <r>
    <x v="2"/>
    <x v="35"/>
    <x v="37"/>
    <x v="0"/>
    <x v="1"/>
    <n v="4"/>
    <n v="40900"/>
    <n v="62.4"/>
    <n v="1300"/>
    <n v="235"/>
    <n v="600"/>
    <n v="1.35"/>
    <n v="58097.250000000007"/>
    <n v="43035"/>
  </r>
  <r>
    <x v="2"/>
    <x v="35"/>
    <x v="37"/>
    <x v="0"/>
    <x v="0"/>
    <n v="2"/>
    <n v="26200"/>
    <n v="62.4"/>
    <n v="1300"/>
    <n v="235"/>
    <n v="600"/>
    <n v="1.35"/>
    <n v="38252.25"/>
    <n v="28335"/>
  </r>
  <r>
    <x v="2"/>
    <x v="221"/>
    <x v="253"/>
    <x v="0"/>
    <x v="1"/>
    <n v="4"/>
    <n v="39500"/>
    <n v="65.8"/>
    <n v="1400"/>
    <n v="235"/>
    <n v="600"/>
    <n v="1.35"/>
    <n v="56342.250000000007"/>
    <n v="41735"/>
  </r>
  <r>
    <x v="2"/>
    <x v="221"/>
    <x v="253"/>
    <x v="0"/>
    <x v="0"/>
    <n v="2"/>
    <n v="25800"/>
    <n v="65.8"/>
    <n v="1400"/>
    <n v="235"/>
    <n v="600"/>
    <n v="1.35"/>
    <n v="37847.25"/>
    <n v="28035"/>
  </r>
  <r>
    <x v="2"/>
    <x v="40"/>
    <x v="42"/>
    <x v="0"/>
    <x v="1"/>
    <n v="4"/>
    <n v="38200"/>
    <n v="61.9"/>
    <n v="1200"/>
    <n v="235"/>
    <n v="600"/>
    <n v="1.35"/>
    <n v="54317.25"/>
    <n v="40235"/>
  </r>
  <r>
    <x v="2"/>
    <x v="40"/>
    <x v="42"/>
    <x v="0"/>
    <x v="0"/>
    <n v="2"/>
    <n v="24900"/>
    <n v="61.9"/>
    <n v="1200"/>
    <n v="235"/>
    <n v="600"/>
    <n v="1.35"/>
    <n v="36362.25"/>
    <n v="26935"/>
  </r>
  <r>
    <x v="2"/>
    <x v="23"/>
    <x v="23"/>
    <x v="0"/>
    <x v="1"/>
    <n v="4"/>
    <n v="37800"/>
    <n v="63.5"/>
    <n v="1400"/>
    <n v="235"/>
    <n v="600"/>
    <n v="1.35"/>
    <n v="54047.25"/>
    <n v="40035"/>
  </r>
  <r>
    <x v="2"/>
    <x v="23"/>
    <x v="23"/>
    <x v="0"/>
    <x v="0"/>
    <n v="2"/>
    <n v="24500"/>
    <n v="63.5"/>
    <n v="1400"/>
    <n v="235"/>
    <n v="600"/>
    <n v="1.35"/>
    <n v="36092.25"/>
    <n v="26735"/>
  </r>
  <r>
    <x v="2"/>
    <x v="118"/>
    <x v="123"/>
    <x v="0"/>
    <x v="1"/>
    <n v="4"/>
    <n v="37200"/>
    <n v="62.8"/>
    <n v="1300"/>
    <n v="235"/>
    <n v="600"/>
    <n v="1.35"/>
    <n v="53102.25"/>
    <n v="39335"/>
  </r>
  <r>
    <x v="2"/>
    <x v="118"/>
    <x v="123"/>
    <x v="0"/>
    <x v="0"/>
    <n v="2"/>
    <n v="24100"/>
    <n v="62.8"/>
    <n v="1300"/>
    <n v="235"/>
    <n v="600"/>
    <n v="1.35"/>
    <n v="35417.25"/>
    <n v="26235"/>
  </r>
  <r>
    <x v="2"/>
    <x v="106"/>
    <x v="111"/>
    <x v="0"/>
    <x v="1"/>
    <n v="4"/>
    <n v="36500"/>
    <n v="64.2"/>
    <n v="1250"/>
    <n v="235"/>
    <n v="600"/>
    <n v="1.35"/>
    <n v="52089.75"/>
    <n v="38585"/>
  </r>
  <r>
    <x v="2"/>
    <x v="106"/>
    <x v="111"/>
    <x v="0"/>
    <x v="0"/>
    <n v="2"/>
    <n v="23800"/>
    <n v="64.2"/>
    <n v="1250"/>
    <n v="235"/>
    <n v="600"/>
    <n v="1.35"/>
    <n v="34944.75"/>
    <n v="25885"/>
  </r>
  <r>
    <x v="2"/>
    <x v="1"/>
    <x v="112"/>
    <x v="0"/>
    <x v="1"/>
    <n v="4"/>
    <n v="35900"/>
    <n v="61.5"/>
    <n v="1200"/>
    <n v="235"/>
    <n v="600"/>
    <n v="1.35"/>
    <n v="51212.25"/>
    <n v="37935"/>
  </r>
  <r>
    <x v="2"/>
    <x v="1"/>
    <x v="112"/>
    <x v="0"/>
    <x v="0"/>
    <n v="2"/>
    <n v="23500"/>
    <n v="61.5"/>
    <n v="1200"/>
    <n v="235"/>
    <n v="600"/>
    <n v="1.35"/>
    <n v="34472.25"/>
    <n v="25535"/>
  </r>
  <r>
    <x v="2"/>
    <x v="220"/>
    <x v="254"/>
    <x v="0"/>
    <x v="1"/>
    <n v="4"/>
    <n v="35400"/>
    <n v="62.1"/>
    <n v="1300"/>
    <n v="235"/>
    <n v="600"/>
    <n v="1.35"/>
    <n v="50672.25"/>
    <n v="37535"/>
  </r>
  <r>
    <x v="2"/>
    <x v="220"/>
    <x v="254"/>
    <x v="0"/>
    <x v="0"/>
    <n v="2"/>
    <n v="23200"/>
    <n v="62.1"/>
    <n v="1300"/>
    <n v="235"/>
    <n v="600"/>
    <n v="1.35"/>
    <n v="34202.25"/>
    <n v="25335"/>
  </r>
  <r>
    <x v="2"/>
    <x v="109"/>
    <x v="114"/>
    <x v="0"/>
    <x v="1"/>
    <n v="4"/>
    <n v="34800"/>
    <n v="64.8"/>
    <n v="1400"/>
    <n v="235"/>
    <n v="600"/>
    <n v="1.35"/>
    <n v="49997.25"/>
    <n v="37035"/>
  </r>
  <r>
    <x v="2"/>
    <x v="109"/>
    <x v="114"/>
    <x v="0"/>
    <x v="0"/>
    <n v="2"/>
    <n v="22900"/>
    <n v="64.8"/>
    <n v="1400"/>
    <n v="235"/>
    <n v="600"/>
    <n v="1.35"/>
    <n v="33932.25"/>
    <n v="25135"/>
  </r>
  <r>
    <x v="2"/>
    <x v="108"/>
    <x v="113"/>
    <x v="0"/>
    <x v="1"/>
    <n v="4"/>
    <n v="34200"/>
    <n v="61.2"/>
    <n v="1200"/>
    <n v="235"/>
    <n v="600"/>
    <n v="1.35"/>
    <n v="48917.25"/>
    <n v="36235"/>
  </r>
  <r>
    <x v="2"/>
    <x v="108"/>
    <x v="113"/>
    <x v="0"/>
    <x v="0"/>
    <n v="2"/>
    <n v="22600"/>
    <n v="61.2"/>
    <n v="1200"/>
    <n v="235"/>
    <n v="600"/>
    <n v="1.35"/>
    <n v="33257.25"/>
    <n v="24635"/>
  </r>
  <r>
    <x v="2"/>
    <x v="111"/>
    <x v="116"/>
    <x v="0"/>
    <x v="1"/>
    <n v="4"/>
    <n v="33600"/>
    <n v="59.8"/>
    <n v="1100"/>
    <n v="235"/>
    <n v="600"/>
    <n v="1.35"/>
    <n v="47972.25"/>
    <n v="35535"/>
  </r>
  <r>
    <x v="2"/>
    <x v="111"/>
    <x v="116"/>
    <x v="0"/>
    <x v="0"/>
    <n v="2"/>
    <n v="22300"/>
    <n v="59.8"/>
    <n v="1100"/>
    <n v="235"/>
    <n v="600"/>
    <n v="1.35"/>
    <n v="32717.250000000004"/>
    <n v="24235"/>
  </r>
  <r>
    <x v="2"/>
    <x v="110"/>
    <x v="115"/>
    <x v="0"/>
    <x v="1"/>
    <n v="4"/>
    <n v="33000"/>
    <n v="58.5"/>
    <n v="1000"/>
    <n v="235"/>
    <n v="600"/>
    <n v="1.35"/>
    <n v="47027.25"/>
    <n v="34835"/>
  </r>
  <r>
    <x v="2"/>
    <x v="110"/>
    <x v="115"/>
    <x v="0"/>
    <x v="0"/>
    <n v="2"/>
    <n v="22000"/>
    <n v="58.5"/>
    <n v="1000"/>
    <n v="235"/>
    <n v="600"/>
    <n v="1.35"/>
    <n v="32177.250000000004"/>
    <n v="23835"/>
  </r>
  <r>
    <x v="2"/>
    <x v="114"/>
    <x v="119"/>
    <x v="0"/>
    <x v="1"/>
    <n v="4"/>
    <n v="32400"/>
    <n v="58.2"/>
    <n v="950"/>
    <n v="235"/>
    <n v="600"/>
    <n v="1.35"/>
    <n v="46149.75"/>
    <n v="34185"/>
  </r>
  <r>
    <x v="2"/>
    <x v="114"/>
    <x v="119"/>
    <x v="0"/>
    <x v="0"/>
    <n v="2"/>
    <n v="21700"/>
    <n v="58.2"/>
    <n v="950"/>
    <n v="235"/>
    <n v="600"/>
    <n v="1.35"/>
    <n v="31704.750000000004"/>
    <n v="23485"/>
  </r>
  <r>
    <x v="2"/>
    <x v="113"/>
    <x v="118"/>
    <x v="0"/>
    <x v="1"/>
    <n v="4"/>
    <n v="31800"/>
    <n v="57.9"/>
    <n v="900"/>
    <n v="235"/>
    <n v="600"/>
    <n v="1.35"/>
    <n v="45272.25"/>
    <n v="33535"/>
  </r>
  <r>
    <x v="2"/>
    <x v="113"/>
    <x v="118"/>
    <x v="0"/>
    <x v="0"/>
    <n v="2"/>
    <n v="21400"/>
    <n v="57.9"/>
    <n v="900"/>
    <n v="235"/>
    <n v="600"/>
    <n v="1.35"/>
    <n v="31232.250000000004"/>
    <n v="23135"/>
  </r>
  <r>
    <x v="2"/>
    <x v="112"/>
    <x v="117"/>
    <x v="0"/>
    <x v="1"/>
    <n v="4"/>
    <n v="31200"/>
    <n v="57.5"/>
    <n v="900"/>
    <n v="235"/>
    <n v="600"/>
    <n v="1.35"/>
    <n v="44462.25"/>
    <n v="32935"/>
  </r>
  <r>
    <x v="2"/>
    <x v="112"/>
    <x v="117"/>
    <x v="0"/>
    <x v="0"/>
    <n v="2"/>
    <n v="21100"/>
    <n v="57.5"/>
    <n v="900"/>
    <n v="235"/>
    <n v="600"/>
    <n v="1.35"/>
    <n v="30827.250000000004"/>
    <n v="22835"/>
  </r>
  <r>
    <x v="2"/>
    <x v="115"/>
    <x v="255"/>
    <x v="0"/>
    <x v="1"/>
    <n v="4"/>
    <n v="30600"/>
    <n v="56.8"/>
    <n v="850"/>
    <n v="235"/>
    <n v="600"/>
    <n v="1.35"/>
    <n v="43584.75"/>
    <n v="32285"/>
  </r>
  <r>
    <x v="2"/>
    <x v="115"/>
    <x v="255"/>
    <x v="0"/>
    <x v="0"/>
    <n v="2"/>
    <n v="20800"/>
    <n v="56.8"/>
    <n v="850"/>
    <n v="235"/>
    <n v="600"/>
    <n v="1.35"/>
    <n v="30354.750000000004"/>
    <n v="22485"/>
  </r>
  <r>
    <x v="2"/>
    <x v="222"/>
    <x v="256"/>
    <x v="0"/>
    <x v="1"/>
    <n v="4"/>
    <n v="30000"/>
    <n v="58.9"/>
    <n v="950"/>
    <n v="235"/>
    <n v="600"/>
    <n v="1.35"/>
    <n v="42909.75"/>
    <n v="31785"/>
  </r>
  <r>
    <x v="2"/>
    <x v="222"/>
    <x v="256"/>
    <x v="0"/>
    <x v="0"/>
    <n v="2"/>
    <n v="20500"/>
    <n v="58.9"/>
    <n v="950"/>
    <n v="235"/>
    <n v="600"/>
    <n v="1.35"/>
    <n v="30084.750000000004"/>
    <n v="22285"/>
  </r>
  <r>
    <x v="2"/>
    <x v="223"/>
    <x v="257"/>
    <x v="0"/>
    <x v="1"/>
    <n v="4"/>
    <n v="29400"/>
    <n v="57.2"/>
    <n v="900"/>
    <n v="235"/>
    <n v="600"/>
    <n v="1.35"/>
    <n v="42032.25"/>
    <n v="31135"/>
  </r>
  <r>
    <x v="2"/>
    <x v="223"/>
    <x v="257"/>
    <x v="0"/>
    <x v="0"/>
    <n v="2"/>
    <n v="20200"/>
    <n v="57.2"/>
    <n v="900"/>
    <n v="235"/>
    <n v="600"/>
    <n v="1.35"/>
    <n v="29612.250000000004"/>
    <n v="21935"/>
  </r>
  <r>
    <x v="2"/>
    <x v="224"/>
    <x v="258"/>
    <x v="0"/>
    <x v="1"/>
    <n v="4"/>
    <n v="28800"/>
    <n v="56.5"/>
    <n v="850"/>
    <n v="235"/>
    <n v="600"/>
    <n v="1.35"/>
    <n v="41154.75"/>
    <n v="30485"/>
  </r>
  <r>
    <x v="2"/>
    <x v="224"/>
    <x v="258"/>
    <x v="0"/>
    <x v="0"/>
    <n v="2"/>
    <n v="19900"/>
    <n v="56.5"/>
    <n v="850"/>
    <n v="235"/>
    <n v="600"/>
    <n v="1.35"/>
    <n v="29139.750000000004"/>
    <n v="21585"/>
  </r>
  <r>
    <x v="2"/>
    <x v="225"/>
    <x v="259"/>
    <x v="0"/>
    <x v="1"/>
    <n v="4"/>
    <n v="28200"/>
    <n v="56.2"/>
    <n v="800"/>
    <n v="235"/>
    <n v="600"/>
    <n v="1.35"/>
    <n v="40277.25"/>
    <n v="29835"/>
  </r>
  <r>
    <x v="2"/>
    <x v="225"/>
    <x v="259"/>
    <x v="0"/>
    <x v="0"/>
    <n v="2"/>
    <n v="19600"/>
    <n v="56.2"/>
    <n v="800"/>
    <n v="235"/>
    <n v="600"/>
    <n v="1.35"/>
    <n v="28667.250000000004"/>
    <n v="21235"/>
  </r>
  <r>
    <x v="2"/>
    <x v="226"/>
    <x v="260"/>
    <x v="0"/>
    <x v="1"/>
    <n v="4"/>
    <n v="27600"/>
    <n v="55.8"/>
    <n v="800"/>
    <n v="235"/>
    <n v="600"/>
    <n v="1.35"/>
    <n v="39467.25"/>
    <n v="29235"/>
  </r>
  <r>
    <x v="2"/>
    <x v="226"/>
    <x v="260"/>
    <x v="0"/>
    <x v="0"/>
    <n v="2"/>
    <n v="19300"/>
    <n v="55.8"/>
    <n v="800"/>
    <n v="235"/>
    <n v="600"/>
    <n v="1.35"/>
    <n v="28262.250000000004"/>
    <n v="20935"/>
  </r>
  <r>
    <x v="2"/>
    <x v="227"/>
    <x v="261"/>
    <x v="0"/>
    <x v="1"/>
    <n v="4"/>
    <n v="27000"/>
    <n v="55.5"/>
    <n v="750"/>
    <n v="235"/>
    <n v="600"/>
    <n v="1.35"/>
    <n v="38589.75"/>
    <n v="28585"/>
  </r>
  <r>
    <x v="2"/>
    <x v="227"/>
    <x v="261"/>
    <x v="0"/>
    <x v="0"/>
    <n v="2"/>
    <n v="19000"/>
    <n v="55.5"/>
    <n v="750"/>
    <n v="235"/>
    <n v="600"/>
    <n v="1.35"/>
    <n v="27789.750000000004"/>
    <n v="20585"/>
  </r>
  <r>
    <x v="3"/>
    <x v="3"/>
    <x v="3"/>
    <x v="0"/>
    <x v="1"/>
    <n v="3"/>
    <n v="42500"/>
    <n v="72.8"/>
    <n v="1800"/>
    <n v="450"/>
    <n v="650"/>
    <n v="1.52"/>
    <n v="69008"/>
    <n v="45400"/>
  </r>
  <r>
    <x v="3"/>
    <x v="3"/>
    <x v="3"/>
    <x v="0"/>
    <x v="0"/>
    <n v="2"/>
    <n v="45800"/>
    <n v="72.8"/>
    <n v="1800"/>
    <n v="450"/>
    <n v="650"/>
    <n v="1.52"/>
    <n v="74024"/>
    <n v="48700"/>
  </r>
  <r>
    <x v="3"/>
    <x v="3"/>
    <x v="3"/>
    <x v="0"/>
    <x v="2"/>
    <n v="4"/>
    <n v="35000"/>
    <n v="72.8"/>
    <n v="1800"/>
    <n v="450"/>
    <n v="650"/>
    <n v="1.52"/>
    <n v="57608"/>
    <n v="37900"/>
  </r>
  <r>
    <x v="3"/>
    <x v="51"/>
    <x v="53"/>
    <x v="0"/>
    <x v="1"/>
    <n v="3"/>
    <n v="41800"/>
    <n v="74.5"/>
    <n v="2000"/>
    <n v="450"/>
    <n v="650"/>
    <n v="1.52"/>
    <n v="68248"/>
    <n v="44900"/>
  </r>
  <r>
    <x v="3"/>
    <x v="51"/>
    <x v="53"/>
    <x v="0"/>
    <x v="0"/>
    <n v="2"/>
    <n v="44900"/>
    <n v="74.5"/>
    <n v="2000"/>
    <n v="450"/>
    <n v="650"/>
    <n v="1.52"/>
    <n v="72960"/>
    <n v="48000"/>
  </r>
  <r>
    <x v="3"/>
    <x v="51"/>
    <x v="53"/>
    <x v="0"/>
    <x v="2"/>
    <n v="4"/>
    <n v="34500"/>
    <n v="74.5"/>
    <n v="2000"/>
    <n v="450"/>
    <n v="650"/>
    <n v="1.52"/>
    <n v="57152"/>
    <n v="37600"/>
  </r>
  <r>
    <x v="3"/>
    <x v="36"/>
    <x v="38"/>
    <x v="0"/>
    <x v="1"/>
    <n v="3"/>
    <n v="41200"/>
    <n v="68.900000000000006"/>
    <n v="1600"/>
    <n v="450"/>
    <n v="650"/>
    <n v="1.52"/>
    <n v="66728"/>
    <n v="43900"/>
  </r>
  <r>
    <x v="3"/>
    <x v="36"/>
    <x v="38"/>
    <x v="0"/>
    <x v="0"/>
    <n v="2"/>
    <n v="44200"/>
    <n v="68.900000000000006"/>
    <n v="1600"/>
    <n v="450"/>
    <n v="650"/>
    <n v="1.52"/>
    <n v="71288"/>
    <n v="46900"/>
  </r>
  <r>
    <x v="3"/>
    <x v="36"/>
    <x v="38"/>
    <x v="0"/>
    <x v="2"/>
    <n v="4"/>
    <n v="34000"/>
    <n v="68.900000000000006"/>
    <n v="1600"/>
    <n v="450"/>
    <n v="650"/>
    <n v="1.52"/>
    <n v="55784"/>
    <n v="36700"/>
  </r>
  <r>
    <x v="3"/>
    <x v="228"/>
    <x v="262"/>
    <x v="0"/>
    <x v="1"/>
    <n v="3"/>
    <n v="40500"/>
    <n v="69.2"/>
    <n v="1500"/>
    <n v="450"/>
    <n v="650"/>
    <n v="1.52"/>
    <n v="65512"/>
    <n v="43100"/>
  </r>
  <r>
    <x v="3"/>
    <x v="228"/>
    <x v="262"/>
    <x v="0"/>
    <x v="0"/>
    <n v="2"/>
    <n v="43500"/>
    <n v="69.2"/>
    <n v="1500"/>
    <n v="450"/>
    <n v="650"/>
    <n v="1.52"/>
    <n v="70072"/>
    <n v="46100"/>
  </r>
  <r>
    <x v="3"/>
    <x v="228"/>
    <x v="262"/>
    <x v="0"/>
    <x v="2"/>
    <n v="4"/>
    <n v="33500"/>
    <n v="69.2"/>
    <n v="1500"/>
    <n v="450"/>
    <n v="650"/>
    <n v="1.52"/>
    <n v="54872"/>
    <n v="36100"/>
  </r>
  <r>
    <x v="3"/>
    <x v="51"/>
    <x v="263"/>
    <x v="0"/>
    <x v="1"/>
    <n v="3"/>
    <n v="40200"/>
    <n v="74.5"/>
    <n v="1900"/>
    <n v="450"/>
    <n v="650"/>
    <n v="1.52"/>
    <n v="65664"/>
    <n v="43200"/>
  </r>
  <r>
    <x v="3"/>
    <x v="51"/>
    <x v="263"/>
    <x v="0"/>
    <x v="0"/>
    <n v="2"/>
    <n v="43200"/>
    <n v="74.5"/>
    <n v="1900"/>
    <n v="450"/>
    <n v="650"/>
    <n v="1.52"/>
    <n v="70224"/>
    <n v="46200"/>
  </r>
  <r>
    <x v="3"/>
    <x v="51"/>
    <x v="263"/>
    <x v="0"/>
    <x v="2"/>
    <n v="4"/>
    <n v="33200"/>
    <n v="74.5"/>
    <n v="1900"/>
    <n v="450"/>
    <n v="650"/>
    <n v="1.52"/>
    <n v="55024"/>
    <n v="36200"/>
  </r>
  <r>
    <x v="3"/>
    <x v="3"/>
    <x v="264"/>
    <x v="0"/>
    <x v="1"/>
    <n v="3"/>
    <n v="39800"/>
    <n v="72.8"/>
    <n v="1700"/>
    <n v="450"/>
    <n v="650"/>
    <n v="1.52"/>
    <n v="64752"/>
    <n v="42600"/>
  </r>
  <r>
    <x v="3"/>
    <x v="3"/>
    <x v="264"/>
    <x v="0"/>
    <x v="0"/>
    <n v="2"/>
    <n v="42800"/>
    <n v="72.8"/>
    <n v="1700"/>
    <n v="450"/>
    <n v="650"/>
    <n v="1.52"/>
    <n v="69312"/>
    <n v="45600"/>
  </r>
  <r>
    <x v="3"/>
    <x v="3"/>
    <x v="264"/>
    <x v="0"/>
    <x v="2"/>
    <n v="4"/>
    <n v="32800"/>
    <n v="72.8"/>
    <n v="1700"/>
    <n v="450"/>
    <n v="650"/>
    <n v="1.52"/>
    <n v="54112"/>
    <n v="35600"/>
  </r>
  <r>
    <x v="3"/>
    <x v="68"/>
    <x v="71"/>
    <x v="0"/>
    <x v="1"/>
    <n v="3"/>
    <n v="39200"/>
    <n v="67.5"/>
    <n v="1400"/>
    <n v="450"/>
    <n v="650"/>
    <n v="1.52"/>
    <n v="63384"/>
    <n v="41700"/>
  </r>
  <r>
    <x v="3"/>
    <x v="68"/>
    <x v="71"/>
    <x v="0"/>
    <x v="0"/>
    <n v="2"/>
    <n v="42200"/>
    <n v="67.5"/>
    <n v="1400"/>
    <n v="450"/>
    <n v="650"/>
    <n v="1.52"/>
    <n v="67944"/>
    <n v="44700"/>
  </r>
  <r>
    <x v="3"/>
    <x v="68"/>
    <x v="71"/>
    <x v="0"/>
    <x v="2"/>
    <n v="4"/>
    <n v="32200"/>
    <n v="67.5"/>
    <n v="1400"/>
    <n v="450"/>
    <n v="650"/>
    <n v="1.52"/>
    <n v="52744"/>
    <n v="34700"/>
  </r>
  <r>
    <x v="3"/>
    <x v="69"/>
    <x v="72"/>
    <x v="0"/>
    <x v="1"/>
    <n v="3"/>
    <n v="38800"/>
    <n v="68.2"/>
    <n v="1500"/>
    <n v="450"/>
    <n v="650"/>
    <n v="1.52"/>
    <n v="62928"/>
    <n v="41400"/>
  </r>
  <r>
    <x v="3"/>
    <x v="69"/>
    <x v="72"/>
    <x v="0"/>
    <x v="0"/>
    <n v="2"/>
    <n v="41800"/>
    <n v="68.2"/>
    <n v="1500"/>
    <n v="450"/>
    <n v="650"/>
    <n v="1.52"/>
    <n v="67488"/>
    <n v="44400"/>
  </r>
  <r>
    <x v="3"/>
    <x v="69"/>
    <x v="72"/>
    <x v="0"/>
    <x v="2"/>
    <n v="4"/>
    <n v="31800"/>
    <n v="68.2"/>
    <n v="1500"/>
    <n v="450"/>
    <n v="650"/>
    <n v="1.52"/>
    <n v="52288"/>
    <n v="34400"/>
  </r>
  <r>
    <x v="3"/>
    <x v="228"/>
    <x v="265"/>
    <x v="0"/>
    <x v="1"/>
    <n v="3"/>
    <n v="38200"/>
    <n v="69.2"/>
    <n v="1400"/>
    <n v="450"/>
    <n v="650"/>
    <n v="1.52"/>
    <n v="61864"/>
    <n v="40700"/>
  </r>
  <r>
    <x v="3"/>
    <x v="228"/>
    <x v="265"/>
    <x v="0"/>
    <x v="0"/>
    <n v="2"/>
    <n v="41200"/>
    <n v="69.2"/>
    <n v="1400"/>
    <n v="450"/>
    <n v="650"/>
    <n v="1.52"/>
    <n v="66424"/>
    <n v="43700"/>
  </r>
  <r>
    <x v="3"/>
    <x v="228"/>
    <x v="265"/>
    <x v="0"/>
    <x v="2"/>
    <n v="4"/>
    <n v="31200"/>
    <n v="69.2"/>
    <n v="1400"/>
    <n v="450"/>
    <n v="650"/>
    <n v="1.52"/>
    <n v="51224"/>
    <n v="33700"/>
  </r>
  <r>
    <x v="3"/>
    <x v="51"/>
    <x v="266"/>
    <x v="0"/>
    <x v="1"/>
    <n v="3"/>
    <n v="37800"/>
    <n v="74.5"/>
    <n v="1800"/>
    <n v="450"/>
    <n v="650"/>
    <n v="1.52"/>
    <n v="61864"/>
    <n v="40700"/>
  </r>
  <r>
    <x v="3"/>
    <x v="51"/>
    <x v="266"/>
    <x v="0"/>
    <x v="0"/>
    <n v="2"/>
    <n v="40800"/>
    <n v="74.5"/>
    <n v="1800"/>
    <n v="450"/>
    <n v="650"/>
    <n v="1.52"/>
    <n v="66424"/>
    <n v="43700"/>
  </r>
  <r>
    <x v="3"/>
    <x v="51"/>
    <x v="266"/>
    <x v="0"/>
    <x v="2"/>
    <n v="4"/>
    <n v="30800"/>
    <n v="74.5"/>
    <n v="1800"/>
    <n v="450"/>
    <n v="650"/>
    <n v="1.52"/>
    <n v="51224"/>
    <n v="33700"/>
  </r>
  <r>
    <x v="3"/>
    <x v="3"/>
    <x v="267"/>
    <x v="0"/>
    <x v="1"/>
    <n v="3"/>
    <n v="37200"/>
    <n v="72.8"/>
    <n v="1600"/>
    <n v="450"/>
    <n v="650"/>
    <n v="1.52"/>
    <n v="60648"/>
    <n v="39900"/>
  </r>
  <r>
    <x v="3"/>
    <x v="3"/>
    <x v="267"/>
    <x v="0"/>
    <x v="0"/>
    <n v="2"/>
    <n v="40200"/>
    <n v="72.8"/>
    <n v="1600"/>
    <n v="450"/>
    <n v="650"/>
    <n v="1.52"/>
    <n v="65208"/>
    <n v="42900"/>
  </r>
  <r>
    <x v="3"/>
    <x v="3"/>
    <x v="267"/>
    <x v="0"/>
    <x v="2"/>
    <n v="4"/>
    <n v="30200"/>
    <n v="72.8"/>
    <n v="1600"/>
    <n v="450"/>
    <n v="650"/>
    <n v="1.52"/>
    <n v="50008"/>
    <n v="32900"/>
  </r>
  <r>
    <x v="3"/>
    <x v="73"/>
    <x v="76"/>
    <x v="0"/>
    <x v="1"/>
    <n v="3"/>
    <n v="36800"/>
    <n v="65.8"/>
    <n v="1300"/>
    <n v="450"/>
    <n v="650"/>
    <n v="1.52"/>
    <n v="59584"/>
    <n v="39200"/>
  </r>
  <r>
    <x v="3"/>
    <x v="73"/>
    <x v="76"/>
    <x v="0"/>
    <x v="0"/>
    <n v="2"/>
    <n v="39800"/>
    <n v="65.8"/>
    <n v="1300"/>
    <n v="450"/>
    <n v="650"/>
    <n v="1.52"/>
    <n v="64144"/>
    <n v="42200"/>
  </r>
  <r>
    <x v="3"/>
    <x v="73"/>
    <x v="76"/>
    <x v="0"/>
    <x v="2"/>
    <n v="4"/>
    <n v="29800"/>
    <n v="65.8"/>
    <n v="1300"/>
    <n v="450"/>
    <n v="650"/>
    <n v="1.52"/>
    <n v="48944"/>
    <n v="32200"/>
  </r>
  <r>
    <x v="3"/>
    <x v="72"/>
    <x v="75"/>
    <x v="0"/>
    <x v="1"/>
    <n v="3"/>
    <n v="36200"/>
    <n v="66.2"/>
    <n v="1300"/>
    <n v="450"/>
    <n v="650"/>
    <n v="1.52"/>
    <n v="58672"/>
    <n v="38600"/>
  </r>
  <r>
    <x v="3"/>
    <x v="72"/>
    <x v="75"/>
    <x v="0"/>
    <x v="0"/>
    <n v="2"/>
    <n v="39200"/>
    <n v="66.2"/>
    <n v="1300"/>
    <n v="450"/>
    <n v="650"/>
    <n v="1.52"/>
    <n v="63232"/>
    <n v="41600"/>
  </r>
  <r>
    <x v="3"/>
    <x v="72"/>
    <x v="75"/>
    <x v="0"/>
    <x v="2"/>
    <n v="4"/>
    <n v="29200"/>
    <n v="66.2"/>
    <n v="1300"/>
    <n v="450"/>
    <n v="650"/>
    <n v="1.52"/>
    <n v="48032"/>
    <n v="31600"/>
  </r>
  <r>
    <x v="3"/>
    <x v="71"/>
    <x v="74"/>
    <x v="0"/>
    <x v="1"/>
    <n v="3"/>
    <n v="35800"/>
    <n v="64.5"/>
    <n v="1200"/>
    <n v="450"/>
    <n v="650"/>
    <n v="1.52"/>
    <n v="57912"/>
    <n v="38100"/>
  </r>
  <r>
    <x v="3"/>
    <x v="71"/>
    <x v="74"/>
    <x v="0"/>
    <x v="0"/>
    <n v="2"/>
    <n v="38800"/>
    <n v="64.5"/>
    <n v="1200"/>
    <n v="450"/>
    <n v="650"/>
    <n v="1.52"/>
    <n v="62472"/>
    <n v="41100"/>
  </r>
  <r>
    <x v="3"/>
    <x v="71"/>
    <x v="74"/>
    <x v="0"/>
    <x v="2"/>
    <n v="4"/>
    <n v="28800"/>
    <n v="64.5"/>
    <n v="1200"/>
    <n v="450"/>
    <n v="650"/>
    <n v="1.52"/>
    <n v="47272"/>
    <n v="31100"/>
  </r>
  <r>
    <x v="3"/>
    <x v="70"/>
    <x v="73"/>
    <x v="0"/>
    <x v="1"/>
    <n v="3"/>
    <n v="35200"/>
    <n v="68.5"/>
    <n v="1400"/>
    <n v="450"/>
    <n v="650"/>
    <n v="1.52"/>
    <n v="57304"/>
    <n v="37700"/>
  </r>
  <r>
    <x v="3"/>
    <x v="70"/>
    <x v="73"/>
    <x v="0"/>
    <x v="0"/>
    <n v="2"/>
    <n v="38200"/>
    <n v="68.5"/>
    <n v="1400"/>
    <n v="450"/>
    <n v="650"/>
    <n v="1.52"/>
    <n v="61864"/>
    <n v="40700"/>
  </r>
  <r>
    <x v="3"/>
    <x v="70"/>
    <x v="73"/>
    <x v="0"/>
    <x v="2"/>
    <n v="4"/>
    <n v="28200"/>
    <n v="68.5"/>
    <n v="1400"/>
    <n v="450"/>
    <n v="650"/>
    <n v="1.52"/>
    <n v="46664"/>
    <n v="30700"/>
  </r>
  <r>
    <x v="3"/>
    <x v="36"/>
    <x v="268"/>
    <x v="0"/>
    <x v="1"/>
    <n v="3"/>
    <n v="34800"/>
    <n v="68.900000000000006"/>
    <n v="1500"/>
    <n v="450"/>
    <n v="650"/>
    <n v="1.52"/>
    <n v="56848"/>
    <n v="37400"/>
  </r>
  <r>
    <x v="3"/>
    <x v="36"/>
    <x v="268"/>
    <x v="0"/>
    <x v="0"/>
    <n v="2"/>
    <n v="37800"/>
    <n v="68.900000000000006"/>
    <n v="1500"/>
    <n v="450"/>
    <n v="650"/>
    <n v="1.52"/>
    <n v="61408"/>
    <n v="40400"/>
  </r>
  <r>
    <x v="3"/>
    <x v="36"/>
    <x v="268"/>
    <x v="0"/>
    <x v="2"/>
    <n v="4"/>
    <n v="27800"/>
    <n v="68.900000000000006"/>
    <n v="1500"/>
    <n v="450"/>
    <n v="650"/>
    <n v="1.52"/>
    <n v="46208"/>
    <n v="30400"/>
  </r>
  <r>
    <x v="3"/>
    <x v="75"/>
    <x v="78"/>
    <x v="0"/>
    <x v="1"/>
    <n v="3"/>
    <n v="34200"/>
    <n v="65.2"/>
    <n v="1200"/>
    <n v="450"/>
    <n v="650"/>
    <n v="1.52"/>
    <n v="55480"/>
    <n v="36500"/>
  </r>
  <r>
    <x v="3"/>
    <x v="75"/>
    <x v="78"/>
    <x v="0"/>
    <x v="0"/>
    <n v="2"/>
    <n v="37200"/>
    <n v="65.2"/>
    <n v="1200"/>
    <n v="450"/>
    <n v="650"/>
    <n v="1.52"/>
    <n v="60040"/>
    <n v="39500"/>
  </r>
  <r>
    <x v="3"/>
    <x v="75"/>
    <x v="78"/>
    <x v="0"/>
    <x v="2"/>
    <n v="4"/>
    <n v="27200"/>
    <n v="65.2"/>
    <n v="1200"/>
    <n v="450"/>
    <n v="650"/>
    <n v="1.52"/>
    <n v="44840"/>
    <n v="29500"/>
  </r>
  <r>
    <x v="3"/>
    <x v="77"/>
    <x v="80"/>
    <x v="0"/>
    <x v="1"/>
    <n v="3"/>
    <n v="33800"/>
    <n v="63.8"/>
    <n v="1100"/>
    <n v="450"/>
    <n v="650"/>
    <n v="1.52"/>
    <n v="54720"/>
    <n v="36000"/>
  </r>
  <r>
    <x v="3"/>
    <x v="77"/>
    <x v="80"/>
    <x v="0"/>
    <x v="0"/>
    <n v="2"/>
    <n v="36800"/>
    <n v="63.8"/>
    <n v="1100"/>
    <n v="450"/>
    <n v="650"/>
    <n v="1.52"/>
    <n v="59280"/>
    <n v="39000"/>
  </r>
  <r>
    <x v="3"/>
    <x v="77"/>
    <x v="80"/>
    <x v="0"/>
    <x v="2"/>
    <n v="4"/>
    <n v="26800"/>
    <n v="63.8"/>
    <n v="1100"/>
    <n v="450"/>
    <n v="650"/>
    <n v="1.52"/>
    <n v="44080"/>
    <n v="29000"/>
  </r>
  <r>
    <x v="3"/>
    <x v="229"/>
    <x v="269"/>
    <x v="0"/>
    <x v="1"/>
    <n v="3"/>
    <n v="33200"/>
    <n v="64.2"/>
    <n v="1100"/>
    <n v="450"/>
    <n v="650"/>
    <n v="1.52"/>
    <n v="53808"/>
    <n v="35400"/>
  </r>
  <r>
    <x v="3"/>
    <x v="229"/>
    <x v="269"/>
    <x v="0"/>
    <x v="0"/>
    <n v="2"/>
    <n v="36200"/>
    <n v="64.2"/>
    <n v="1100"/>
    <n v="450"/>
    <n v="650"/>
    <n v="1.52"/>
    <n v="58368"/>
    <n v="38400"/>
  </r>
  <r>
    <x v="3"/>
    <x v="229"/>
    <x v="269"/>
    <x v="0"/>
    <x v="2"/>
    <n v="4"/>
    <n v="26200"/>
    <n v="64.2"/>
    <n v="1100"/>
    <n v="450"/>
    <n v="650"/>
    <n v="1.52"/>
    <n v="43168"/>
    <n v="28400"/>
  </r>
  <r>
    <x v="3"/>
    <x v="230"/>
    <x v="270"/>
    <x v="0"/>
    <x v="1"/>
    <n v="3"/>
    <n v="32800"/>
    <n v="63.5"/>
    <n v="1000"/>
    <n v="450"/>
    <n v="650"/>
    <n v="1.52"/>
    <n v="53048"/>
    <n v="34900"/>
  </r>
  <r>
    <x v="3"/>
    <x v="230"/>
    <x v="270"/>
    <x v="0"/>
    <x v="0"/>
    <n v="2"/>
    <n v="35800"/>
    <n v="63.5"/>
    <n v="1000"/>
    <n v="450"/>
    <n v="650"/>
    <n v="1.52"/>
    <n v="57608"/>
    <n v="37900"/>
  </r>
  <r>
    <x v="3"/>
    <x v="230"/>
    <x v="270"/>
    <x v="0"/>
    <x v="2"/>
    <n v="4"/>
    <n v="25800"/>
    <n v="63.5"/>
    <n v="1000"/>
    <n v="450"/>
    <n v="650"/>
    <n v="1.52"/>
    <n v="42408"/>
    <n v="27900"/>
  </r>
  <r>
    <x v="3"/>
    <x v="231"/>
    <x v="271"/>
    <x v="0"/>
    <x v="1"/>
    <n v="3"/>
    <n v="32200"/>
    <n v="63.2"/>
    <n v="1000"/>
    <n v="450"/>
    <n v="650"/>
    <n v="1.52"/>
    <n v="52136"/>
    <n v="34300"/>
  </r>
  <r>
    <x v="3"/>
    <x v="231"/>
    <x v="271"/>
    <x v="0"/>
    <x v="0"/>
    <n v="2"/>
    <n v="35200"/>
    <n v="63.2"/>
    <n v="1000"/>
    <n v="450"/>
    <n v="650"/>
    <n v="1.52"/>
    <n v="56696"/>
    <n v="37300"/>
  </r>
  <r>
    <x v="3"/>
    <x v="231"/>
    <x v="271"/>
    <x v="0"/>
    <x v="2"/>
    <n v="4"/>
    <n v="25200"/>
    <n v="63.2"/>
    <n v="1000"/>
    <n v="450"/>
    <n v="650"/>
    <n v="1.52"/>
    <n v="41496"/>
    <n v="27300"/>
  </r>
  <r>
    <x v="0"/>
    <x v="30"/>
    <x v="30"/>
    <x v="0"/>
    <x v="0"/>
    <n v="2"/>
    <n v="58000"/>
    <n v="82.1"/>
    <n v="2100"/>
    <n v="160"/>
    <n v="1500"/>
    <n v="1"/>
    <n v="61760"/>
    <n v="61760"/>
  </r>
  <r>
    <x v="1"/>
    <x v="1"/>
    <x v="1"/>
    <x v="1"/>
    <x v="0"/>
    <n v="1"/>
    <n v="42000"/>
    <n v="75.3"/>
    <n v="1800"/>
    <n v="485"/>
    <n v="800"/>
    <n v="0.79"/>
    <n v="35617.15"/>
    <n v="45085"/>
  </r>
  <r>
    <x v="4"/>
    <x v="4"/>
    <x v="272"/>
    <x v="4"/>
    <x v="0"/>
    <n v="2"/>
    <n v="0"/>
    <n v="71.5"/>
    <n v="1200"/>
    <n v="110"/>
    <n v="900"/>
    <n v="0.92"/>
    <n v="2033.2"/>
    <n v="2210"/>
  </r>
  <r>
    <x v="2"/>
    <x v="2"/>
    <x v="2"/>
    <x v="2"/>
    <x v="0"/>
    <n v="2"/>
    <n v="45000"/>
    <n v="73.8"/>
    <n v="1700"/>
    <n v="235"/>
    <n v="750"/>
    <n v="1.35"/>
    <n v="64374.750000000007"/>
    <n v="47685"/>
  </r>
  <r>
    <x v="3"/>
    <x v="3"/>
    <x v="3"/>
    <x v="6"/>
    <x v="2"/>
    <n v="4"/>
    <n v="29000"/>
    <n v="72.400000000000006"/>
    <n v="1500"/>
    <n v="450"/>
    <n v="650"/>
    <n v="1.52"/>
    <n v="48032"/>
    <n v="31600"/>
  </r>
  <r>
    <x v="0"/>
    <x v="29"/>
    <x v="29"/>
    <x v="9"/>
    <x v="2"/>
    <n v="5"/>
    <n v="52000"/>
    <n v="84.3"/>
    <n v="2300"/>
    <n v="160"/>
    <n v="1500"/>
    <n v="1"/>
    <n v="55960"/>
    <n v="55960"/>
  </r>
  <r>
    <x v="1"/>
    <x v="188"/>
    <x v="218"/>
    <x v="67"/>
    <x v="0"/>
    <n v="2"/>
    <n v="38000"/>
    <n v="67.8"/>
    <n v="1100"/>
    <n v="485"/>
    <n v="800"/>
    <n v="0.79"/>
    <n v="31904.15"/>
    <n v="40385"/>
  </r>
  <r>
    <x v="4"/>
    <x v="52"/>
    <x v="273"/>
    <x v="0"/>
    <x v="1"/>
    <n v="3"/>
    <n v="0"/>
    <n v="68.900000000000006"/>
    <n v="950"/>
    <n v="110"/>
    <n v="900"/>
    <n v="0.92"/>
    <n v="1803.2"/>
    <n v="1960"/>
  </r>
  <r>
    <x v="2"/>
    <x v="50"/>
    <x v="52"/>
    <x v="38"/>
    <x v="0"/>
    <n v="2"/>
    <n v="42000"/>
    <n v="71.2"/>
    <n v="1600"/>
    <n v="235"/>
    <n v="750"/>
    <n v="1.35"/>
    <n v="60189.750000000007"/>
    <n v="44585"/>
  </r>
  <r>
    <x v="3"/>
    <x v="51"/>
    <x v="53"/>
    <x v="68"/>
    <x v="2"/>
    <n v="4"/>
    <n v="31000"/>
    <n v="75.599999999999994"/>
    <n v="1700"/>
    <n v="450"/>
    <n v="650"/>
    <n v="1.52"/>
    <n v="51376"/>
    <n v="33800"/>
  </r>
  <r>
    <x v="0"/>
    <x v="48"/>
    <x v="50"/>
    <x v="22"/>
    <x v="0"/>
    <n v="2"/>
    <n v="54000"/>
    <n v="83.2"/>
    <n v="2000"/>
    <n v="160"/>
    <n v="1500"/>
    <n v="1"/>
    <n v="57660"/>
    <n v="57660"/>
  </r>
  <r>
    <x v="1"/>
    <x v="49"/>
    <x v="51"/>
    <x v="3"/>
    <x v="1"/>
    <n v="3"/>
    <n v="35000"/>
    <n v="65.400000000000006"/>
    <n v="900"/>
    <n v="485"/>
    <n v="800"/>
    <n v="0.79"/>
    <n v="29376.15"/>
    <n v="37185"/>
  </r>
  <r>
    <x v="4"/>
    <x v="80"/>
    <x v="274"/>
    <x v="9"/>
    <x v="0"/>
    <n v="2"/>
    <n v="0"/>
    <n v="69.8"/>
    <n v="1100"/>
    <n v="110"/>
    <n v="900"/>
    <n v="0.92"/>
    <n v="1941.2"/>
    <n v="2110"/>
  </r>
  <r>
    <x v="2"/>
    <x v="221"/>
    <x v="252"/>
    <x v="0"/>
    <x v="2"/>
    <n v="4"/>
    <n v="38000"/>
    <n v="68.900000000000006"/>
    <n v="1400"/>
    <n v="235"/>
    <n v="750"/>
    <n v="1.35"/>
    <n v="54519.75"/>
    <n v="40385"/>
  </r>
  <r>
    <x v="3"/>
    <x v="228"/>
    <x v="262"/>
    <x v="1"/>
    <x v="0"/>
    <n v="2"/>
    <n v="32000"/>
    <n v="68.7"/>
    <n v="1200"/>
    <n v="450"/>
    <n v="650"/>
    <n v="1.52"/>
    <n v="52136"/>
    <n v="34300"/>
  </r>
  <r>
    <x v="0"/>
    <x v="126"/>
    <x v="131"/>
    <x v="34"/>
    <x v="0"/>
    <n v="2"/>
    <n v="62000"/>
    <n v="100"/>
    <n v="2500"/>
    <n v="160"/>
    <n v="1500"/>
    <n v="1"/>
    <n v="66160"/>
    <n v="66160"/>
  </r>
  <r>
    <x v="1"/>
    <x v="31"/>
    <x v="31"/>
    <x v="0"/>
    <x v="2"/>
    <n v="4"/>
    <n v="40000"/>
    <n v="71.5"/>
    <n v="1400"/>
    <n v="485"/>
    <n v="800"/>
    <n v="0.79"/>
    <n v="33721.15"/>
    <n v="42685"/>
  </r>
  <r>
    <x v="4"/>
    <x v="78"/>
    <x v="81"/>
    <x v="4"/>
    <x v="1"/>
    <n v="3"/>
    <n v="0"/>
    <n v="65.400000000000006"/>
    <n v="800"/>
    <n v="110"/>
    <n v="900"/>
    <n v="0.92"/>
    <n v="1665.2"/>
    <n v="1810"/>
  </r>
  <r>
    <x v="2"/>
    <x v="23"/>
    <x v="23"/>
    <x v="6"/>
    <x v="0"/>
    <n v="2"/>
    <n v="40000"/>
    <n v="67.8"/>
    <n v="1300"/>
    <n v="235"/>
    <n v="750"/>
    <n v="1.35"/>
    <n v="57084.750000000007"/>
    <n v="42285"/>
  </r>
  <r>
    <x v="3"/>
    <x v="69"/>
    <x v="72"/>
    <x v="9"/>
    <x v="0"/>
    <n v="2"/>
    <n v="30000"/>
    <n v="67.2"/>
    <n v="1100"/>
    <n v="450"/>
    <n v="650"/>
    <n v="1.52"/>
    <n v="48944"/>
    <n v="32200"/>
  </r>
  <r>
    <x v="0"/>
    <x v="20"/>
    <x v="20"/>
    <x v="3"/>
    <x v="2"/>
    <n v="5"/>
    <n v="48000"/>
    <n v="71.2"/>
    <n v="1700"/>
    <n v="160"/>
    <n v="1500"/>
    <n v="1"/>
    <n v="51360"/>
    <n v="51360"/>
  </r>
  <r>
    <x v="1"/>
    <x v="22"/>
    <x v="22"/>
    <x v="1"/>
    <x v="0"/>
    <n v="2"/>
    <n v="36000"/>
    <n v="68.900000000000006"/>
    <n v="1200"/>
    <n v="485"/>
    <n v="800"/>
    <n v="0.79"/>
    <n v="30403.15"/>
    <n v="38485"/>
  </r>
  <r>
    <x v="4"/>
    <x v="232"/>
    <x v="275"/>
    <x v="0"/>
    <x v="0"/>
    <n v="2"/>
    <n v="0"/>
    <n v="72.3"/>
    <n v="1300"/>
    <n v="110"/>
    <n v="900"/>
    <n v="0.92"/>
    <n v="2125.2000000000003"/>
    <n v="2310"/>
  </r>
  <r>
    <x v="2"/>
    <x v="118"/>
    <x v="123"/>
    <x v="22"/>
    <x v="1"/>
    <n v="4"/>
    <n v="35000"/>
    <n v="65.400000000000006"/>
    <n v="1200"/>
    <n v="235"/>
    <n v="750"/>
    <n v="1.35"/>
    <n v="50199.75"/>
    <n v="37185"/>
  </r>
  <r>
    <x v="3"/>
    <x v="68"/>
    <x v="71"/>
    <x v="67"/>
    <x v="2"/>
    <n v="4"/>
    <n v="28000"/>
    <n v="64.5"/>
    <n v="1000"/>
    <n v="450"/>
    <n v="650"/>
    <n v="1.52"/>
    <n v="45752"/>
    <n v="30100"/>
  </r>
  <r>
    <x v="0"/>
    <x v="180"/>
    <x v="207"/>
    <x v="0"/>
    <x v="0"/>
    <n v="2"/>
    <n v="52000"/>
    <n v="79.8"/>
    <n v="2200"/>
    <n v="160"/>
    <n v="1500"/>
    <n v="1"/>
    <n v="55860"/>
    <n v="55860"/>
  </r>
  <r>
    <x v="1"/>
    <x v="41"/>
    <x v="43"/>
    <x v="9"/>
    <x v="1"/>
    <n v="3"/>
    <n v="34000"/>
    <n v="64.5"/>
    <n v="950"/>
    <n v="485"/>
    <n v="800"/>
    <n v="0.79"/>
    <n v="28625.65"/>
    <n v="36235"/>
  </r>
  <r>
    <x v="4"/>
    <x v="79"/>
    <x v="82"/>
    <x v="3"/>
    <x v="0"/>
    <n v="2"/>
    <n v="0"/>
    <n v="68.7"/>
    <n v="1100"/>
    <n v="110"/>
    <n v="900"/>
    <n v="0.92"/>
    <n v="1941.2"/>
    <n v="2110"/>
  </r>
  <r>
    <x v="2"/>
    <x v="40"/>
    <x v="42"/>
    <x v="1"/>
    <x v="0"/>
    <n v="2"/>
    <n v="37000"/>
    <n v="64.3"/>
    <n v="1100"/>
    <n v="235"/>
    <n v="750"/>
    <n v="1.35"/>
    <n v="52764.75"/>
    <n v="39085"/>
  </r>
  <r>
    <x v="3"/>
    <x v="36"/>
    <x v="38"/>
    <x v="0"/>
    <x v="2"/>
    <n v="4"/>
    <n v="33000"/>
    <n v="69.8"/>
    <n v="1300"/>
    <n v="450"/>
    <n v="650"/>
    <n v="1.52"/>
    <n v="53808"/>
    <n v="35400"/>
  </r>
  <r>
    <x v="0"/>
    <x v="21"/>
    <x v="21"/>
    <x v="22"/>
    <x v="0"/>
    <n v="2"/>
    <n v="45000"/>
    <n v="68.900000000000006"/>
    <n v="1600"/>
    <n v="160"/>
    <n v="1500"/>
    <n v="1"/>
    <n v="48260"/>
    <n v="48260"/>
  </r>
  <r>
    <x v="1"/>
    <x v="98"/>
    <x v="102"/>
    <x v="67"/>
    <x v="2"/>
    <n v="4"/>
    <n v="35000"/>
    <n v="63.2"/>
    <n v="900"/>
    <n v="485"/>
    <n v="800"/>
    <n v="0.79"/>
    <n v="29376.15"/>
    <n v="37185"/>
  </r>
  <r>
    <x v="4"/>
    <x v="32"/>
    <x v="33"/>
    <x v="9"/>
    <x v="1"/>
    <n v="3"/>
    <n v="0"/>
    <n v="67.8"/>
    <n v="1000"/>
    <n v="110"/>
    <n v="900"/>
    <n v="0.92"/>
    <n v="1849.2"/>
    <n v="2010"/>
  </r>
  <r>
    <x v="2"/>
    <x v="108"/>
    <x v="113"/>
    <x v="3"/>
    <x v="0"/>
    <n v="2"/>
    <n v="36000"/>
    <n v="63.4"/>
    <n v="1000"/>
    <n v="235"/>
    <n v="750"/>
    <n v="1.35"/>
    <n v="51279.75"/>
    <n v="37985"/>
  </r>
  <r>
    <x v="3"/>
    <x v="70"/>
    <x v="73"/>
    <x v="1"/>
    <x v="0"/>
    <n v="2"/>
    <n v="29000"/>
    <n v="65.400000000000006"/>
    <n v="1100"/>
    <n v="450"/>
    <n v="650"/>
    <n v="1.52"/>
    <n v="47424"/>
    <n v="31200"/>
  </r>
  <r>
    <x v="0"/>
    <x v="39"/>
    <x v="41"/>
    <x v="0"/>
    <x v="2"/>
    <n v="5"/>
    <n v="50000"/>
    <n v="77.8"/>
    <n v="2000"/>
    <n v="160"/>
    <n v="1500"/>
    <n v="1"/>
    <n v="53660"/>
    <n v="53660"/>
  </r>
  <r>
    <x v="1"/>
    <x v="100"/>
    <x v="104"/>
    <x v="3"/>
    <x v="0"/>
    <n v="2"/>
    <n v="33000"/>
    <n v="62.3"/>
    <n v="850"/>
    <n v="485"/>
    <n v="800"/>
    <n v="0.79"/>
    <n v="27756.65"/>
    <n v="35135"/>
  </r>
  <r>
    <x v="4"/>
    <x v="233"/>
    <x v="276"/>
    <x v="22"/>
    <x v="0"/>
    <n v="2"/>
    <n v="0"/>
    <n v="69.8"/>
    <n v="1200"/>
    <n v="110"/>
    <n v="900"/>
    <n v="0.92"/>
    <n v="2033.2"/>
    <n v="2210"/>
  </r>
  <r>
    <x v="2"/>
    <x v="110"/>
    <x v="115"/>
    <x v="9"/>
    <x v="1"/>
    <n v="3"/>
    <n v="34000"/>
    <n v="62.1"/>
    <n v="900"/>
    <n v="235"/>
    <n v="750"/>
    <n v="1.35"/>
    <n v="48444.75"/>
    <n v="35885"/>
  </r>
  <r>
    <x v="3"/>
    <x v="72"/>
    <x v="75"/>
    <x v="67"/>
    <x v="0"/>
    <n v="2"/>
    <n v="27000"/>
    <n v="63.2"/>
    <n v="950"/>
    <n v="450"/>
    <n v="650"/>
    <n v="1.52"/>
    <n v="44156"/>
    <n v="29050"/>
  </r>
  <r>
    <x v="0"/>
    <x v="116"/>
    <x v="121"/>
    <x v="1"/>
    <x v="0"/>
    <n v="2"/>
    <n v="56000"/>
    <n v="65.400000000000006"/>
    <n v="1500"/>
    <n v="160"/>
    <n v="1500"/>
    <n v="1"/>
    <n v="59160"/>
    <n v="59160"/>
  </r>
  <r>
    <x v="1"/>
    <x v="103"/>
    <x v="107"/>
    <x v="0"/>
    <x v="2"/>
    <n v="4"/>
    <n v="34000"/>
    <n v="61.2"/>
    <n v="800"/>
    <n v="485"/>
    <n v="800"/>
    <n v="0.79"/>
    <n v="28507.15"/>
    <n v="36085"/>
  </r>
  <r>
    <x v="4"/>
    <x v="234"/>
    <x v="277"/>
    <x v="3"/>
    <x v="0"/>
    <n v="2"/>
    <n v="0"/>
    <n v="67.8"/>
    <n v="1100"/>
    <n v="110"/>
    <n v="900"/>
    <n v="0.92"/>
    <n v="1941.2"/>
    <n v="2110"/>
  </r>
  <r>
    <x v="2"/>
    <x v="109"/>
    <x v="114"/>
    <x v="22"/>
    <x v="0"/>
    <n v="2"/>
    <n v="35000"/>
    <n v="64.5"/>
    <n v="1100"/>
    <n v="235"/>
    <n v="750"/>
    <n v="1.35"/>
    <n v="50064.75"/>
    <n v="37085"/>
  </r>
  <r>
    <x v="3"/>
    <x v="71"/>
    <x v="74"/>
    <x v="9"/>
    <x v="1"/>
    <n v="3"/>
    <n v="26000"/>
    <n v="62.1"/>
    <n v="900"/>
    <n v="450"/>
    <n v="650"/>
    <n v="1.52"/>
    <n v="42560"/>
    <n v="28000"/>
  </r>
  <r>
    <x v="0"/>
    <x v="38"/>
    <x v="40"/>
    <x v="67"/>
    <x v="2"/>
    <n v="5"/>
    <n v="49000"/>
    <n v="75.599999999999994"/>
    <n v="1900"/>
    <n v="160"/>
    <n v="1500"/>
    <n v="1"/>
    <n v="52560"/>
    <n v="52560"/>
  </r>
  <r>
    <x v="1"/>
    <x v="92"/>
    <x v="219"/>
    <x v="3"/>
    <x v="0"/>
    <n v="2"/>
    <n v="35000"/>
    <n v="63.4"/>
    <n v="900"/>
    <n v="485"/>
    <n v="800"/>
    <n v="0.79"/>
    <n v="29376.15"/>
    <n v="37185"/>
  </r>
  <r>
    <x v="4"/>
    <x v="81"/>
    <x v="84"/>
    <x v="0"/>
    <x v="1"/>
    <n v="3"/>
    <n v="0"/>
    <n v="68.900000000000006"/>
    <n v="1000"/>
    <n v="110"/>
    <n v="900"/>
    <n v="0.92"/>
    <n v="1849.2"/>
    <n v="2010"/>
  </r>
  <r>
    <x v="2"/>
    <x v="111"/>
    <x v="116"/>
    <x v="1"/>
    <x v="0"/>
    <n v="2"/>
    <n v="33000"/>
    <n v="61.2"/>
    <n v="900"/>
    <n v="235"/>
    <n v="750"/>
    <n v="1.35"/>
    <n v="47094.75"/>
    <n v="34885"/>
  </r>
  <r>
    <x v="3"/>
    <x v="73"/>
    <x v="76"/>
    <x v="22"/>
    <x v="2"/>
    <n v="4"/>
    <n v="28000"/>
    <n v="63.4"/>
    <n v="950"/>
    <n v="450"/>
    <n v="650"/>
    <n v="1.52"/>
    <n v="45676"/>
    <n v="30050"/>
  </r>
  <r>
    <x v="0"/>
    <x v="235"/>
    <x v="278"/>
    <x v="1"/>
    <x v="0"/>
    <n v="2"/>
    <n v="52000"/>
    <n v="95.2"/>
    <n v="2400"/>
    <n v="160"/>
    <n v="1500"/>
    <n v="1"/>
    <n v="56060"/>
    <n v="56060"/>
  </r>
  <r>
    <x v="1"/>
    <x v="1"/>
    <x v="217"/>
    <x v="0"/>
    <x v="0"/>
    <n v="1"/>
    <n v="39000"/>
    <n v="75.3"/>
    <n v="1900"/>
    <n v="485"/>
    <n v="800"/>
    <n v="0.79"/>
    <n v="33326.15"/>
    <n v="42185"/>
  </r>
  <r>
    <x v="9"/>
    <x v="9"/>
    <x v="9"/>
    <x v="0"/>
    <x v="0"/>
    <n v="2"/>
    <n v="1500"/>
    <n v="122.4"/>
    <n v="2000"/>
    <n v="140"/>
    <n v="1200"/>
    <n v="0.89"/>
    <n v="4307.6000000000004"/>
    <n v="4840"/>
  </r>
  <r>
    <x v="8"/>
    <x v="8"/>
    <x v="8"/>
    <x v="14"/>
    <x v="0"/>
    <n v="2"/>
    <n v="4500"/>
    <n v="84.3"/>
    <n v="1800"/>
    <n v="99"/>
    <n v="850"/>
    <n v="0.92"/>
    <n v="6669.08"/>
    <n v="7249"/>
  </r>
  <r>
    <x v="14"/>
    <x v="14"/>
    <x v="14"/>
    <x v="0"/>
    <x v="2"/>
    <n v="4"/>
    <n v="18900"/>
    <n v="83.6"/>
    <n v="1700"/>
    <n v="150"/>
    <n v="750"/>
    <n v="0.92"/>
    <n v="19780"/>
    <n v="21500"/>
  </r>
  <r>
    <x v="0"/>
    <x v="89"/>
    <x v="92"/>
    <x v="1"/>
    <x v="0"/>
    <n v="2"/>
    <n v="58000"/>
    <n v="84.1"/>
    <n v="1900"/>
    <n v="160"/>
    <n v="1500"/>
    <n v="1"/>
    <n v="61560"/>
    <n v="61560"/>
  </r>
  <r>
    <x v="1"/>
    <x v="0"/>
    <x v="279"/>
    <x v="14"/>
    <x v="1"/>
    <n v="3"/>
    <n v="35000"/>
    <n v="71.2"/>
    <n v="1500"/>
    <n v="485"/>
    <n v="800"/>
    <n v="0.79"/>
    <n v="29850.15"/>
    <n v="37785"/>
  </r>
  <r>
    <x v="9"/>
    <x v="154"/>
    <x v="168"/>
    <x v="0"/>
    <x v="2"/>
    <n v="4"/>
    <n v="1500"/>
    <n v="119.8"/>
    <n v="1900"/>
    <n v="140"/>
    <n v="1200"/>
    <n v="0.89"/>
    <n v="4218.6000000000004"/>
    <n v="4740"/>
  </r>
  <r>
    <x v="8"/>
    <x v="146"/>
    <x v="280"/>
    <x v="1"/>
    <x v="0"/>
    <n v="2"/>
    <n v="4200"/>
    <n v="75.599999999999994"/>
    <n v="1200"/>
    <n v="99"/>
    <n v="850"/>
    <n v="0.92"/>
    <n v="5841.08"/>
    <n v="6349"/>
  </r>
  <r>
    <x v="14"/>
    <x v="236"/>
    <x v="281"/>
    <x v="0"/>
    <x v="0"/>
    <n v="2"/>
    <n v="16800"/>
    <n v="75.400000000000006"/>
    <n v="1300"/>
    <n v="150"/>
    <n v="750"/>
    <n v="0.92"/>
    <n v="17480"/>
    <n v="19000"/>
  </r>
  <r>
    <x v="0"/>
    <x v="30"/>
    <x v="282"/>
    <x v="14"/>
    <x v="0"/>
    <n v="2"/>
    <n v="54000"/>
    <n v="82.1"/>
    <n v="2200"/>
    <n v="160"/>
    <n v="1500"/>
    <n v="1"/>
    <n v="57860"/>
    <n v="57860"/>
  </r>
  <r>
    <x v="1"/>
    <x v="188"/>
    <x v="232"/>
    <x v="0"/>
    <x v="0"/>
    <n v="1"/>
    <n v="37000"/>
    <n v="67.8"/>
    <n v="1200"/>
    <n v="485"/>
    <n v="800"/>
    <n v="0.79"/>
    <n v="31193.15"/>
    <n v="39485"/>
  </r>
  <r>
    <x v="9"/>
    <x v="155"/>
    <x v="169"/>
    <x v="1"/>
    <x v="0"/>
    <n v="2"/>
    <n v="1500"/>
    <n v="116.5"/>
    <n v="1800"/>
    <n v="140"/>
    <n v="1200"/>
    <n v="0.89"/>
    <n v="4129.6000000000004"/>
    <n v="4640"/>
  </r>
  <r>
    <x v="8"/>
    <x v="145"/>
    <x v="283"/>
    <x v="0"/>
    <x v="1"/>
    <n v="3"/>
    <n v="4000"/>
    <n v="71.2"/>
    <n v="900"/>
    <n v="99"/>
    <n v="850"/>
    <n v="0.92"/>
    <n v="5381.08"/>
    <n v="5849"/>
  </r>
  <r>
    <x v="14"/>
    <x v="45"/>
    <x v="47"/>
    <x v="14"/>
    <x v="0"/>
    <n v="2"/>
    <n v="15900"/>
    <n v="72.3"/>
    <n v="1100"/>
    <n v="150"/>
    <n v="750"/>
    <n v="0.92"/>
    <n v="16468"/>
    <n v="17900"/>
  </r>
  <r>
    <x v="0"/>
    <x v="39"/>
    <x v="41"/>
    <x v="1"/>
    <x v="2"/>
    <n v="4"/>
    <n v="51000"/>
    <n v="77.8"/>
    <n v="2100"/>
    <n v="160"/>
    <n v="1500"/>
    <n v="1"/>
    <n v="54760"/>
    <n v="54760"/>
  </r>
  <r>
    <x v="1"/>
    <x v="101"/>
    <x v="105"/>
    <x v="0"/>
    <x v="0"/>
    <n v="1"/>
    <n v="36000"/>
    <n v="65.400000000000006"/>
    <n v="1100"/>
    <n v="485"/>
    <n v="800"/>
    <n v="0.79"/>
    <n v="30324.15"/>
    <n v="38385"/>
  </r>
  <r>
    <x v="9"/>
    <x v="33"/>
    <x v="175"/>
    <x v="1"/>
    <x v="0"/>
    <n v="2"/>
    <n v="1500"/>
    <n v="114.3"/>
    <n v="1700"/>
    <n v="140"/>
    <n v="1200"/>
    <n v="0.89"/>
    <n v="4040.6"/>
    <n v="4540"/>
  </r>
  <r>
    <x v="8"/>
    <x v="149"/>
    <x v="163"/>
    <x v="14"/>
    <x v="0"/>
    <n v="2"/>
    <n v="4300"/>
    <n v="72.099999999999994"/>
    <n v="1000"/>
    <n v="99"/>
    <n v="850"/>
    <n v="0.92"/>
    <n v="5749.08"/>
    <n v="6249"/>
  </r>
  <r>
    <x v="14"/>
    <x v="237"/>
    <x v="284"/>
    <x v="0"/>
    <x v="1"/>
    <n v="4"/>
    <n v="15400"/>
    <n v="71.2"/>
    <n v="1000"/>
    <n v="150"/>
    <n v="750"/>
    <n v="0.92"/>
    <n v="15916"/>
    <n v="17300"/>
  </r>
  <r>
    <x v="0"/>
    <x v="21"/>
    <x v="21"/>
    <x v="0"/>
    <x v="0"/>
    <n v="2"/>
    <n v="49000"/>
    <n v="68.900000000000006"/>
    <n v="1800"/>
    <n v="160"/>
    <n v="1500"/>
    <n v="1"/>
    <n v="52460"/>
    <n v="52460"/>
  </r>
  <r>
    <x v="1"/>
    <x v="49"/>
    <x v="285"/>
    <x v="1"/>
    <x v="0"/>
    <n v="1"/>
    <n v="35000"/>
    <n v="65.400000000000006"/>
    <n v="1000"/>
    <n v="485"/>
    <n v="800"/>
    <n v="0.79"/>
    <n v="29455.15"/>
    <n v="37285"/>
  </r>
  <r>
    <x v="9"/>
    <x v="157"/>
    <x v="171"/>
    <x v="14"/>
    <x v="0"/>
    <n v="2"/>
    <n v="1500"/>
    <n v="112.1"/>
    <n v="1600"/>
    <n v="140"/>
    <n v="1200"/>
    <n v="0.89"/>
    <n v="3951.6"/>
    <n v="4440"/>
  </r>
  <r>
    <x v="8"/>
    <x v="148"/>
    <x v="286"/>
    <x v="0"/>
    <x v="0"/>
    <n v="2"/>
    <n v="4100"/>
    <n v="76.5"/>
    <n v="1300"/>
    <n v="99"/>
    <n v="850"/>
    <n v="0.92"/>
    <n v="5841.08"/>
    <n v="6349"/>
  </r>
  <r>
    <x v="14"/>
    <x v="238"/>
    <x v="287"/>
    <x v="1"/>
    <x v="2"/>
    <n v="4"/>
    <n v="14900"/>
    <n v="70.099999999999994"/>
    <n v="950"/>
    <n v="150"/>
    <n v="750"/>
    <n v="0.92"/>
    <n v="15410"/>
    <n v="16750"/>
  </r>
  <r>
    <x v="0"/>
    <x v="239"/>
    <x v="288"/>
    <x v="14"/>
    <x v="0"/>
    <n v="2"/>
    <n v="47000"/>
    <n v="69.8"/>
    <n v="1700"/>
    <n v="160"/>
    <n v="1500"/>
    <n v="1"/>
    <n v="50360"/>
    <n v="50360"/>
  </r>
  <r>
    <x v="1"/>
    <x v="98"/>
    <x v="289"/>
    <x v="0"/>
    <x v="1"/>
    <n v="3"/>
    <n v="34000"/>
    <n v="63.2"/>
    <n v="900"/>
    <n v="485"/>
    <n v="800"/>
    <n v="0.79"/>
    <n v="28586.15"/>
    <n v="36185"/>
  </r>
  <r>
    <x v="9"/>
    <x v="156"/>
    <x v="170"/>
    <x v="1"/>
    <x v="0"/>
    <n v="2"/>
    <n v="1500"/>
    <n v="110.4"/>
    <n v="1500"/>
    <n v="140"/>
    <n v="1200"/>
    <n v="0.89"/>
    <n v="3862.6"/>
    <n v="4340"/>
  </r>
  <r>
    <x v="8"/>
    <x v="150"/>
    <x v="290"/>
    <x v="14"/>
    <x v="2"/>
    <n v="4"/>
    <n v="4200"/>
    <n v="69.8"/>
    <n v="950"/>
    <n v="99"/>
    <n v="850"/>
    <n v="0.92"/>
    <n v="5611.08"/>
    <n v="6099"/>
  </r>
  <r>
    <x v="14"/>
    <x v="240"/>
    <x v="291"/>
    <x v="0"/>
    <x v="0"/>
    <n v="2"/>
    <n v="14500"/>
    <n v="68.900000000000006"/>
    <n v="900"/>
    <n v="150"/>
    <n v="750"/>
    <n v="0.92"/>
    <n v="14996"/>
    <n v="16300"/>
  </r>
  <r>
    <x v="0"/>
    <x v="241"/>
    <x v="292"/>
    <x v="1"/>
    <x v="0"/>
    <n v="2"/>
    <n v="45000"/>
    <n v="71.2"/>
    <n v="1600"/>
    <n v="160"/>
    <n v="1500"/>
    <n v="1"/>
    <n v="48260"/>
    <n v="48260"/>
  </r>
  <r>
    <x v="1"/>
    <x v="22"/>
    <x v="293"/>
    <x v="0"/>
    <x v="0"/>
    <n v="1"/>
    <n v="33000"/>
    <n v="68.900000000000006"/>
    <n v="1100"/>
    <n v="485"/>
    <n v="800"/>
    <n v="0.79"/>
    <n v="27954.15"/>
    <n v="35385"/>
  </r>
  <r>
    <x v="9"/>
    <x v="158"/>
    <x v="294"/>
    <x v="14"/>
    <x v="0"/>
    <n v="2"/>
    <n v="1500"/>
    <n v="108.9"/>
    <n v="1400"/>
    <n v="140"/>
    <n v="1200"/>
    <n v="0.89"/>
    <n v="3773.6"/>
    <n v="4240"/>
  </r>
  <r>
    <x v="8"/>
    <x v="152"/>
    <x v="166"/>
    <x v="0"/>
    <x v="0"/>
    <n v="2"/>
    <n v="4000"/>
    <n v="70.2"/>
    <n v="1000"/>
    <n v="99"/>
    <n v="850"/>
    <n v="0.92"/>
    <n v="5473.08"/>
    <n v="5949"/>
  </r>
  <r>
    <x v="14"/>
    <x v="242"/>
    <x v="295"/>
    <x v="1"/>
    <x v="1"/>
    <n v="4"/>
    <n v="14000"/>
    <n v="67.5"/>
    <n v="850"/>
    <n v="150"/>
    <n v="750"/>
    <n v="0.92"/>
    <n v="14490"/>
    <n v="15750"/>
  </r>
  <r>
    <x v="0"/>
    <x v="96"/>
    <x v="99"/>
    <x v="0"/>
    <x v="2"/>
    <n v="4"/>
    <n v="48000"/>
    <n v="72.3"/>
    <n v="1700"/>
    <n v="160"/>
    <n v="1500"/>
    <n v="1"/>
    <n v="51360"/>
    <n v="51360"/>
  </r>
  <r>
    <x v="1"/>
    <x v="104"/>
    <x v="108"/>
    <x v="14"/>
    <x v="0"/>
    <n v="1"/>
    <n v="34000"/>
    <n v="64.5"/>
    <n v="950"/>
    <n v="485"/>
    <n v="800"/>
    <n v="0.79"/>
    <n v="28625.65"/>
    <n v="36235"/>
  </r>
  <r>
    <x v="9"/>
    <x v="159"/>
    <x v="173"/>
    <x v="0"/>
    <x v="0"/>
    <n v="2"/>
    <n v="1500"/>
    <n v="107.8"/>
    <n v="1300"/>
    <n v="140"/>
    <n v="1200"/>
    <n v="0.89"/>
    <n v="3684.6"/>
    <n v="4140"/>
  </r>
  <r>
    <x v="8"/>
    <x v="147"/>
    <x v="161"/>
    <x v="1"/>
    <x v="0"/>
    <n v="2"/>
    <n v="4100"/>
    <n v="71.5"/>
    <n v="1100"/>
    <n v="99"/>
    <n v="850"/>
    <n v="0.92"/>
    <n v="5657.08"/>
    <n v="6149"/>
  </r>
  <r>
    <x v="14"/>
    <x v="243"/>
    <x v="296"/>
    <x v="14"/>
    <x v="0"/>
    <n v="2"/>
    <n v="13800"/>
    <n v="66.7"/>
    <n v="800"/>
    <n v="150"/>
    <n v="750"/>
    <n v="0.92"/>
    <n v="14260"/>
    <n v="15500"/>
  </r>
  <r>
    <x v="29"/>
    <x v="57"/>
    <x v="59"/>
    <x v="0"/>
    <x v="0"/>
    <n v="2"/>
    <n v="0"/>
    <n v="83.2"/>
    <n v="1400"/>
    <n v="275"/>
    <n v="700"/>
    <n v="10.45"/>
    <n v="24818.75"/>
    <n v="2375"/>
  </r>
  <r>
    <x v="28"/>
    <x v="56"/>
    <x v="58"/>
    <x v="1"/>
    <x v="0"/>
    <n v="2"/>
    <n v="0"/>
    <n v="79.400000000000006"/>
    <n v="1200"/>
    <n v="350"/>
    <n v="650"/>
    <n v="0.92"/>
    <n v="2024"/>
    <n v="2200"/>
  </r>
  <r>
    <x v="4"/>
    <x v="52"/>
    <x v="297"/>
    <x v="4"/>
    <x v="0"/>
    <n v="2"/>
    <n v="0"/>
    <n v="68.900000000000006"/>
    <n v="1100"/>
    <n v="110"/>
    <n v="900"/>
    <n v="0.92"/>
    <n v="1941.2"/>
    <n v="2110"/>
  </r>
  <r>
    <x v="11"/>
    <x v="11"/>
    <x v="11"/>
    <x v="9"/>
    <x v="2"/>
    <n v="4"/>
    <n v="0"/>
    <n v="82.1"/>
    <n v="1500"/>
    <n v="450"/>
    <n v="800"/>
    <n v="7.45"/>
    <n v="20487.5"/>
    <n v="2750"/>
  </r>
  <r>
    <x v="29"/>
    <x v="244"/>
    <x v="298"/>
    <x v="30"/>
    <x v="0"/>
    <n v="2"/>
    <n v="0"/>
    <n v="75.599999999999994"/>
    <n v="1100"/>
    <n v="275"/>
    <n v="700"/>
    <n v="10.45"/>
    <n v="21683.75"/>
    <n v="2075"/>
  </r>
  <r>
    <x v="28"/>
    <x v="245"/>
    <x v="299"/>
    <x v="12"/>
    <x v="1"/>
    <n v="3"/>
    <n v="0"/>
    <n v="77.8"/>
    <n v="1000"/>
    <n v="350"/>
    <n v="650"/>
    <n v="0.92"/>
    <n v="1840"/>
    <n v="2000"/>
  </r>
  <r>
    <x v="4"/>
    <x v="4"/>
    <x v="300"/>
    <x v="22"/>
    <x v="2"/>
    <n v="4"/>
    <n v="0"/>
    <n v="71.5"/>
    <n v="1300"/>
    <n v="110"/>
    <n v="900"/>
    <n v="0.92"/>
    <n v="2125.2000000000003"/>
    <n v="2310"/>
  </r>
  <r>
    <x v="11"/>
    <x v="163"/>
    <x v="178"/>
    <x v="14"/>
    <x v="0"/>
    <n v="2"/>
    <n v="0"/>
    <n v="76.5"/>
    <n v="1200"/>
    <n v="450"/>
    <n v="800"/>
    <n v="7.45"/>
    <n v="18252.5"/>
    <n v="2450"/>
  </r>
  <r>
    <x v="29"/>
    <x v="246"/>
    <x v="301"/>
    <x v="6"/>
    <x v="0"/>
    <n v="2"/>
    <n v="0"/>
    <n v="74.3"/>
    <n v="1200"/>
    <n v="275"/>
    <n v="700"/>
    <n v="10.45"/>
    <n v="22728.75"/>
    <n v="2175"/>
  </r>
  <r>
    <x v="28"/>
    <x v="247"/>
    <x v="302"/>
    <x v="39"/>
    <x v="0"/>
    <n v="2"/>
    <n v="0"/>
    <n v="72.099999999999994"/>
    <n v="900"/>
    <n v="350"/>
    <n v="650"/>
    <n v="0.92"/>
    <n v="1748"/>
    <n v="1900"/>
  </r>
  <r>
    <x v="4"/>
    <x v="78"/>
    <x v="81"/>
    <x v="0"/>
    <x v="1"/>
    <n v="3"/>
    <n v="0"/>
    <n v="65.400000000000006"/>
    <n v="900"/>
    <n v="110"/>
    <n v="900"/>
    <n v="0.92"/>
    <n v="1757.2"/>
    <n v="1910"/>
  </r>
  <r>
    <x v="11"/>
    <x v="248"/>
    <x v="303"/>
    <x v="68"/>
    <x v="0"/>
    <n v="2"/>
    <n v="0"/>
    <n v="73.2"/>
    <n v="1100"/>
    <n v="450"/>
    <n v="800"/>
    <n v="7.45"/>
    <n v="17507.5"/>
    <n v="2350"/>
  </r>
  <r>
    <x v="29"/>
    <x v="249"/>
    <x v="304"/>
    <x v="69"/>
    <x v="2"/>
    <n v="4"/>
    <n v="0"/>
    <n v="71.2"/>
    <n v="1000"/>
    <n v="275"/>
    <n v="700"/>
    <n v="10.45"/>
    <n v="20638.75"/>
    <n v="1975"/>
  </r>
  <r>
    <x v="28"/>
    <x v="250"/>
    <x v="305"/>
    <x v="11"/>
    <x v="0"/>
    <n v="2"/>
    <n v="0"/>
    <n v="71.8"/>
    <n v="850"/>
    <n v="350"/>
    <n v="650"/>
    <n v="0.92"/>
    <n v="1702"/>
    <n v="1850"/>
  </r>
  <r>
    <x v="4"/>
    <x v="80"/>
    <x v="83"/>
    <x v="27"/>
    <x v="0"/>
    <n v="2"/>
    <n v="0"/>
    <n v="69.8"/>
    <n v="1200"/>
    <n v="110"/>
    <n v="900"/>
    <n v="0.92"/>
    <n v="2033.2"/>
    <n v="2210"/>
  </r>
  <r>
    <x v="11"/>
    <x v="43"/>
    <x v="45"/>
    <x v="70"/>
    <x v="1"/>
    <n v="3"/>
    <n v="0"/>
    <n v="71.5"/>
    <n v="1000"/>
    <n v="450"/>
    <n v="800"/>
    <n v="7.45"/>
    <n v="16762.5"/>
    <n v="2250"/>
  </r>
  <r>
    <x v="29"/>
    <x v="251"/>
    <x v="306"/>
    <x v="71"/>
    <x v="0"/>
    <n v="2"/>
    <n v="0"/>
    <n v="72.400000000000006"/>
    <n v="1100"/>
    <n v="275"/>
    <n v="700"/>
    <n v="10.45"/>
    <n v="21683.75"/>
    <n v="2075"/>
  </r>
  <r>
    <x v="28"/>
    <x v="252"/>
    <x v="307"/>
    <x v="0"/>
    <x v="2"/>
    <n v="4"/>
    <n v="0"/>
    <n v="70.2"/>
    <n v="800"/>
    <n v="350"/>
    <n v="650"/>
    <n v="0.92"/>
    <n v="1656"/>
    <n v="1800"/>
  </r>
  <r>
    <x v="4"/>
    <x v="79"/>
    <x v="82"/>
    <x v="19"/>
    <x v="0"/>
    <n v="2"/>
    <n v="0"/>
    <n v="68.7"/>
    <n v="1100"/>
    <n v="110"/>
    <n v="900"/>
    <n v="0.92"/>
    <n v="1941.2"/>
    <n v="2110"/>
  </r>
  <r>
    <x v="11"/>
    <x v="253"/>
    <x v="308"/>
    <x v="38"/>
    <x v="0"/>
    <n v="2"/>
    <n v="0"/>
    <n v="70.8"/>
    <n v="1000"/>
    <n v="450"/>
    <n v="800"/>
    <n v="7.45"/>
    <n v="16762.5"/>
    <n v="2250"/>
  </r>
  <r>
    <x v="29"/>
    <x v="254"/>
    <x v="309"/>
    <x v="68"/>
    <x v="0"/>
    <n v="2"/>
    <n v="0"/>
    <n v="70.5"/>
    <n v="900"/>
    <n v="275"/>
    <n v="700"/>
    <n v="10.45"/>
    <n v="19593.75"/>
    <n v="1875"/>
  </r>
  <r>
    <x v="28"/>
    <x v="255"/>
    <x v="310"/>
    <x v="72"/>
    <x v="0"/>
    <n v="2"/>
    <n v="0"/>
    <n v="69.8"/>
    <n v="800"/>
    <n v="350"/>
    <n v="650"/>
    <n v="0.92"/>
    <n v="1656"/>
    <n v="1800"/>
  </r>
  <r>
    <x v="4"/>
    <x v="82"/>
    <x v="85"/>
    <x v="73"/>
    <x v="2"/>
    <n v="4"/>
    <n v="0"/>
    <n v="67.900000000000006"/>
    <n v="1000"/>
    <n v="110"/>
    <n v="900"/>
    <n v="0.92"/>
    <n v="1849.2"/>
    <n v="2010"/>
  </r>
  <r>
    <x v="11"/>
    <x v="256"/>
    <x v="311"/>
    <x v="74"/>
    <x v="0"/>
    <n v="2"/>
    <n v="0"/>
    <n v="81.2"/>
    <n v="1400"/>
    <n v="450"/>
    <n v="800"/>
    <n v="7.45"/>
    <n v="19742.5"/>
    <n v="2650"/>
  </r>
  <r>
    <x v="29"/>
    <x v="257"/>
    <x v="312"/>
    <x v="16"/>
    <x v="1"/>
    <n v="3"/>
    <n v="0"/>
    <n v="69.400000000000006"/>
    <n v="850"/>
    <n v="275"/>
    <n v="700"/>
    <n v="10.45"/>
    <n v="19071.25"/>
    <n v="1825"/>
  </r>
  <r>
    <x v="28"/>
    <x v="258"/>
    <x v="313"/>
    <x v="1"/>
    <x v="0"/>
    <n v="2"/>
    <n v="0"/>
    <n v="68.7"/>
    <n v="750"/>
    <n v="350"/>
    <n v="650"/>
    <n v="0.92"/>
    <n v="1610"/>
    <n v="1750"/>
  </r>
  <r>
    <x v="4"/>
    <x v="83"/>
    <x v="86"/>
    <x v="12"/>
    <x v="0"/>
    <n v="2"/>
    <n v="0"/>
    <n v="66.8"/>
    <n v="950"/>
    <n v="110"/>
    <n v="900"/>
    <n v="0.92"/>
    <n v="1803.2"/>
    <n v="1960"/>
  </r>
  <r>
    <x v="11"/>
    <x v="259"/>
    <x v="303"/>
    <x v="39"/>
    <x v="2"/>
    <n v="4"/>
    <n v="0"/>
    <n v="69.5"/>
    <n v="900"/>
    <n v="450"/>
    <n v="800"/>
    <n v="7.45"/>
    <n v="16017.5"/>
    <n v="2150"/>
  </r>
  <r>
    <x v="29"/>
    <x v="260"/>
    <x v="314"/>
    <x v="65"/>
    <x v="0"/>
    <n v="2"/>
    <n v="0"/>
    <n v="68.900000000000006"/>
    <n v="800"/>
    <n v="275"/>
    <n v="700"/>
    <n v="10.45"/>
    <n v="18548.75"/>
    <n v="1775"/>
  </r>
  <r>
    <x v="28"/>
    <x v="261"/>
    <x v="315"/>
    <x v="20"/>
    <x v="0"/>
    <n v="2"/>
    <n v="0"/>
    <n v="67.5"/>
    <n v="700"/>
    <n v="350"/>
    <n v="650"/>
    <n v="0.92"/>
    <n v="1564"/>
    <n v="1700"/>
  </r>
  <r>
    <x v="4"/>
    <x v="262"/>
    <x v="316"/>
    <x v="30"/>
    <x v="0"/>
    <n v="2"/>
    <n v="0"/>
    <n v="66.5"/>
    <n v="900"/>
    <n v="110"/>
    <n v="900"/>
    <n v="0.92"/>
    <n v="1757.2"/>
    <n v="1910"/>
  </r>
  <r>
    <x v="11"/>
    <x v="263"/>
    <x v="303"/>
    <x v="75"/>
    <x v="0"/>
    <n v="2"/>
    <n v="0"/>
    <n v="68.400000000000006"/>
    <n v="850"/>
    <n v="450"/>
    <n v="800"/>
    <n v="7.45"/>
    <n v="15645"/>
    <n v="2100"/>
  </r>
  <r>
    <x v="29"/>
    <x v="264"/>
    <x v="317"/>
    <x v="76"/>
    <x v="2"/>
    <n v="4"/>
    <n v="0"/>
    <n v="67.8"/>
    <n v="850"/>
    <n v="275"/>
    <n v="700"/>
    <n v="10.45"/>
    <n v="19071.25"/>
    <n v="1825"/>
  </r>
  <r>
    <x v="28"/>
    <x v="265"/>
    <x v="318"/>
    <x v="38"/>
    <x v="1"/>
    <n v="3"/>
    <n v="0"/>
    <n v="66.900000000000006"/>
    <n v="700"/>
    <n v="350"/>
    <n v="650"/>
    <n v="0.92"/>
    <n v="1564"/>
    <n v="1700"/>
  </r>
  <r>
    <x v="4"/>
    <x v="81"/>
    <x v="84"/>
    <x v="77"/>
    <x v="0"/>
    <n v="2"/>
    <n v="0"/>
    <n v="68.900000000000006"/>
    <n v="1000"/>
    <n v="110"/>
    <n v="900"/>
    <n v="0.92"/>
    <n v="1849.2"/>
    <n v="2010"/>
  </r>
  <r>
    <x v="11"/>
    <x v="266"/>
    <x v="11"/>
    <x v="11"/>
    <x v="0"/>
    <n v="2"/>
    <n v="0"/>
    <n v="67.5"/>
    <n v="900"/>
    <n v="450"/>
    <n v="800"/>
    <n v="7.45"/>
    <n v="16017.5"/>
    <n v="2150"/>
  </r>
  <r>
    <x v="29"/>
    <x v="267"/>
    <x v="319"/>
    <x v="78"/>
    <x v="0"/>
    <n v="2"/>
    <n v="0"/>
    <n v="66.7"/>
    <n v="800"/>
    <n v="275"/>
    <n v="700"/>
    <n v="10.45"/>
    <n v="18548.75"/>
    <n v="1775"/>
  </r>
  <r>
    <x v="28"/>
    <x v="268"/>
    <x v="318"/>
    <x v="79"/>
    <x v="2"/>
    <n v="4"/>
    <n v="0"/>
    <n v="65.8"/>
    <n v="650"/>
    <n v="350"/>
    <n v="650"/>
    <n v="0.92"/>
    <n v="1518"/>
    <n v="1650"/>
  </r>
  <r>
    <x v="4"/>
    <x v="85"/>
    <x v="88"/>
    <x v="80"/>
    <x v="0"/>
    <n v="2"/>
    <n v="0"/>
    <n v="65.400000000000006"/>
    <n v="850"/>
    <n v="110"/>
    <n v="900"/>
    <n v="0.92"/>
    <n v="1711.2"/>
    <n v="1860"/>
  </r>
  <r>
    <x v="11"/>
    <x v="269"/>
    <x v="178"/>
    <x v="81"/>
    <x v="0"/>
    <n v="2"/>
    <n v="0"/>
    <n v="66.2"/>
    <n v="800"/>
    <n v="450"/>
    <n v="800"/>
    <n v="7.45"/>
    <n v="15272.5"/>
    <n v="2050"/>
  </r>
  <r>
    <x v="15"/>
    <x v="16"/>
    <x v="16"/>
    <x v="0"/>
    <x v="0"/>
    <n v="2"/>
    <n v="32000"/>
    <n v="79.5"/>
    <n v="1200"/>
    <n v="330"/>
    <n v="600"/>
    <n v="1.65"/>
    <n v="56314.5"/>
    <n v="34130"/>
  </r>
  <r>
    <x v="0"/>
    <x v="30"/>
    <x v="282"/>
    <x v="1"/>
    <x v="0"/>
    <n v="2"/>
    <n v="54000"/>
    <n v="82.1"/>
    <n v="2000"/>
    <n v="160"/>
    <n v="1500"/>
    <n v="1"/>
    <n v="57660"/>
    <n v="57660"/>
  </r>
  <r>
    <x v="10"/>
    <x v="10"/>
    <x v="10"/>
    <x v="82"/>
    <x v="0"/>
    <n v="2"/>
    <n v="0"/>
    <n v="78.400000000000006"/>
    <n v="1100"/>
    <n v="120"/>
    <n v="750"/>
    <n v="10.45"/>
    <n v="20586.5"/>
    <n v="1970"/>
  </r>
  <r>
    <x v="6"/>
    <x v="6"/>
    <x v="6"/>
    <x v="6"/>
    <x v="2"/>
    <n v="4"/>
    <n v="15000"/>
    <n v="81.2"/>
    <n v="1300"/>
    <n v="171"/>
    <n v="720"/>
    <n v="0.92"/>
    <n v="15815.720000000001"/>
    <n v="17191"/>
  </r>
  <r>
    <x v="19"/>
    <x v="25"/>
    <x v="25"/>
    <x v="12"/>
    <x v="0"/>
    <n v="2"/>
    <n v="7000"/>
    <n v="65.8"/>
    <n v="800"/>
    <n v="75"/>
    <n v="400"/>
    <n v="0.92"/>
    <n v="7613"/>
    <n v="8275"/>
  </r>
  <r>
    <x v="15"/>
    <x v="270"/>
    <x v="320"/>
    <x v="14"/>
    <x v="0"/>
    <n v="2"/>
    <n v="30000"/>
    <n v="75.599999999999994"/>
    <n v="1100"/>
    <n v="330"/>
    <n v="600"/>
    <n v="1.65"/>
    <n v="52849.5"/>
    <n v="32030"/>
  </r>
  <r>
    <x v="0"/>
    <x v="21"/>
    <x v="21"/>
    <x v="30"/>
    <x v="2"/>
    <n v="5"/>
    <n v="48000"/>
    <n v="68.900000000000006"/>
    <n v="1600"/>
    <n v="160"/>
    <n v="1500"/>
    <n v="1"/>
    <n v="51260"/>
    <n v="51260"/>
  </r>
  <r>
    <x v="10"/>
    <x v="271"/>
    <x v="321"/>
    <x v="22"/>
    <x v="1"/>
    <n v="3"/>
    <n v="0"/>
    <n v="72.3"/>
    <n v="900"/>
    <n v="120"/>
    <n v="750"/>
    <n v="10.45"/>
    <n v="18496.5"/>
    <n v="1770"/>
  </r>
  <r>
    <x v="6"/>
    <x v="55"/>
    <x v="57"/>
    <x v="2"/>
    <x v="0"/>
    <n v="2"/>
    <n v="14500"/>
    <n v="77.8"/>
    <n v="1200"/>
    <n v="171"/>
    <n v="720"/>
    <n v="0.92"/>
    <n v="15263.720000000001"/>
    <n v="16591"/>
  </r>
  <r>
    <x v="19"/>
    <x v="272"/>
    <x v="322"/>
    <x v="39"/>
    <x v="0"/>
    <n v="2"/>
    <n v="6500"/>
    <n v="62.4"/>
    <n v="700"/>
    <n v="75"/>
    <n v="400"/>
    <n v="0.92"/>
    <n v="7061"/>
    <n v="7675"/>
  </r>
  <r>
    <x v="15"/>
    <x v="273"/>
    <x v="323"/>
    <x v="4"/>
    <x v="2"/>
    <n v="4"/>
    <n v="31000"/>
    <n v="72.400000000000006"/>
    <n v="950"/>
    <n v="330"/>
    <n v="600"/>
    <n v="1.65"/>
    <n v="54252"/>
    <n v="32880"/>
  </r>
  <r>
    <x v="0"/>
    <x v="38"/>
    <x v="40"/>
    <x v="68"/>
    <x v="0"/>
    <n v="2"/>
    <n v="49000"/>
    <n v="75.599999999999994"/>
    <n v="1900"/>
    <n v="160"/>
    <n v="1500"/>
    <n v="1"/>
    <n v="52560"/>
    <n v="52560"/>
  </r>
  <r>
    <x v="10"/>
    <x v="274"/>
    <x v="324"/>
    <x v="83"/>
    <x v="0"/>
    <n v="2"/>
    <n v="0"/>
    <n v="71.2"/>
    <n v="950"/>
    <n v="120"/>
    <n v="750"/>
    <n v="10.45"/>
    <n v="19019"/>
    <n v="1820"/>
  </r>
  <r>
    <x v="6"/>
    <x v="34"/>
    <x v="35"/>
    <x v="0"/>
    <x v="0"/>
    <n v="2"/>
    <n v="15500"/>
    <n v="76.5"/>
    <n v="1100"/>
    <n v="171"/>
    <n v="720"/>
    <n v="0.92"/>
    <n v="16091.720000000001"/>
    <n v="17491"/>
  </r>
  <r>
    <x v="19"/>
    <x v="275"/>
    <x v="325"/>
    <x v="1"/>
    <x v="1"/>
    <n v="3"/>
    <n v="6000"/>
    <n v="58.9"/>
    <n v="600"/>
    <n v="75"/>
    <n v="400"/>
    <n v="0.92"/>
    <n v="6509"/>
    <n v="7075"/>
  </r>
  <r>
    <x v="15"/>
    <x v="276"/>
    <x v="326"/>
    <x v="40"/>
    <x v="0"/>
    <n v="2"/>
    <n v="29000"/>
    <n v="70.2"/>
    <n v="900"/>
    <n v="330"/>
    <n v="600"/>
    <n v="1.65"/>
    <n v="50869.5"/>
    <n v="30830"/>
  </r>
  <r>
    <x v="0"/>
    <x v="39"/>
    <x v="41"/>
    <x v="12"/>
    <x v="0"/>
    <n v="2"/>
    <n v="51000"/>
    <n v="77.8"/>
    <n v="2100"/>
    <n v="160"/>
    <n v="1500"/>
    <n v="1"/>
    <n v="54760"/>
    <n v="54760"/>
  </r>
  <r>
    <x v="10"/>
    <x v="37"/>
    <x v="39"/>
    <x v="9"/>
    <x v="2"/>
    <n v="4"/>
    <n v="0"/>
    <n v="73.400000000000006"/>
    <n v="1000"/>
    <n v="120"/>
    <n v="750"/>
    <n v="10.45"/>
    <n v="19541.5"/>
    <n v="1870"/>
  </r>
  <r>
    <x v="6"/>
    <x v="136"/>
    <x v="141"/>
    <x v="6"/>
    <x v="0"/>
    <n v="2"/>
    <n v="14800"/>
    <n v="72.3"/>
    <n v="950"/>
    <n v="171"/>
    <n v="720"/>
    <n v="0.92"/>
    <n v="15309.720000000001"/>
    <n v="16641"/>
  </r>
  <r>
    <x v="19"/>
    <x v="277"/>
    <x v="327"/>
    <x v="0"/>
    <x v="0"/>
    <n v="2"/>
    <n v="6200"/>
    <n v="57.8"/>
    <n v="550"/>
    <n v="75"/>
    <n v="400"/>
    <n v="0.92"/>
    <n v="6647"/>
    <n v="7225"/>
  </r>
  <r>
    <x v="15"/>
    <x v="106"/>
    <x v="328"/>
    <x v="38"/>
    <x v="0"/>
    <n v="2"/>
    <n v="28500"/>
    <n v="68.900000000000006"/>
    <n v="850"/>
    <n v="330"/>
    <n v="600"/>
    <n v="1.65"/>
    <n v="49962"/>
    <n v="30280"/>
  </r>
  <r>
    <x v="0"/>
    <x v="20"/>
    <x v="20"/>
    <x v="84"/>
    <x v="2"/>
    <n v="5"/>
    <n v="48000"/>
    <n v="71.2"/>
    <n v="1700"/>
    <n v="160"/>
    <n v="1500"/>
    <n v="1"/>
    <n v="51360"/>
    <n v="51360"/>
  </r>
  <r>
    <x v="10"/>
    <x v="278"/>
    <x v="329"/>
    <x v="0"/>
    <x v="0"/>
    <n v="2"/>
    <n v="0"/>
    <n v="69.8"/>
    <n v="850"/>
    <n v="120"/>
    <n v="750"/>
    <n v="10.45"/>
    <n v="17974"/>
    <n v="1720"/>
  </r>
  <r>
    <x v="6"/>
    <x v="142"/>
    <x v="147"/>
    <x v="1"/>
    <x v="1"/>
    <n v="3"/>
    <n v="13900"/>
    <n v="75.400000000000006"/>
    <n v="1100"/>
    <n v="171"/>
    <n v="720"/>
    <n v="0.92"/>
    <n v="14619.720000000001"/>
    <n v="15891"/>
  </r>
  <r>
    <x v="19"/>
    <x v="279"/>
    <x v="330"/>
    <x v="30"/>
    <x v="2"/>
    <n v="4"/>
    <n v="6800"/>
    <n v="56.7"/>
    <n v="500"/>
    <n v="75"/>
    <n v="400"/>
    <n v="0.92"/>
    <n v="7153"/>
    <n v="7775"/>
  </r>
  <r>
    <x v="15"/>
    <x v="280"/>
    <x v="331"/>
    <x v="12"/>
    <x v="1"/>
    <n v="3"/>
    <n v="27500"/>
    <n v="67.5"/>
    <n v="800"/>
    <n v="330"/>
    <n v="600"/>
    <n v="1.65"/>
    <n v="48229.5"/>
    <n v="29230"/>
  </r>
  <r>
    <x v="0"/>
    <x v="116"/>
    <x v="121"/>
    <x v="39"/>
    <x v="0"/>
    <n v="2"/>
    <n v="56000"/>
    <n v="65.400000000000006"/>
    <n v="1500"/>
    <n v="160"/>
    <n v="1500"/>
    <n v="1"/>
    <n v="59160"/>
    <n v="59160"/>
  </r>
  <r>
    <x v="10"/>
    <x v="281"/>
    <x v="332"/>
    <x v="6"/>
    <x v="0"/>
    <n v="2"/>
    <n v="0"/>
    <n v="68.5"/>
    <n v="800"/>
    <n v="120"/>
    <n v="750"/>
    <n v="10.45"/>
    <n v="17451.5"/>
    <n v="1670"/>
  </r>
  <r>
    <x v="6"/>
    <x v="138"/>
    <x v="143"/>
    <x v="43"/>
    <x v="2"/>
    <n v="4"/>
    <n v="14200"/>
    <n v="71.2"/>
    <n v="900"/>
    <n v="171"/>
    <n v="720"/>
    <n v="0.92"/>
    <n v="14711.720000000001"/>
    <n v="15991"/>
  </r>
  <r>
    <x v="19"/>
    <x v="282"/>
    <x v="333"/>
    <x v="40"/>
    <x v="0"/>
    <n v="2"/>
    <n v="5900"/>
    <n v="55.4"/>
    <n v="480"/>
    <n v="75"/>
    <n v="400"/>
    <n v="0.92"/>
    <n v="6306.6"/>
    <n v="6855"/>
  </r>
  <r>
    <x v="15"/>
    <x v="16"/>
    <x v="334"/>
    <x v="14"/>
    <x v="0"/>
    <n v="2"/>
    <n v="29500"/>
    <n v="79.5"/>
    <n v="1150"/>
    <n v="330"/>
    <n v="600"/>
    <n v="1.65"/>
    <n v="52107"/>
    <n v="31580"/>
  </r>
  <r>
    <x v="0"/>
    <x v="185"/>
    <x v="214"/>
    <x v="0"/>
    <x v="0"/>
    <n v="2"/>
    <n v="47000"/>
    <n v="67.8"/>
    <n v="1400"/>
    <n v="160"/>
    <n v="1500"/>
    <n v="1"/>
    <n v="50060"/>
    <n v="50060"/>
  </r>
  <r>
    <x v="10"/>
    <x v="283"/>
    <x v="335"/>
    <x v="40"/>
    <x v="1"/>
    <n v="3"/>
    <n v="0"/>
    <n v="67.2"/>
    <n v="750"/>
    <n v="120"/>
    <n v="750"/>
    <n v="10.45"/>
    <n v="16929"/>
    <n v="1620"/>
  </r>
  <r>
    <x v="6"/>
    <x v="141"/>
    <x v="146"/>
    <x v="1"/>
    <x v="0"/>
    <n v="2"/>
    <n v="14000"/>
    <n v="70.5"/>
    <n v="950"/>
    <n v="171"/>
    <n v="720"/>
    <n v="0.92"/>
    <n v="14573.720000000001"/>
    <n v="15841"/>
  </r>
  <r>
    <x v="19"/>
    <x v="284"/>
    <x v="336"/>
    <x v="12"/>
    <x v="0"/>
    <n v="2"/>
    <n v="5700"/>
    <n v="54.3"/>
    <n v="450"/>
    <n v="75"/>
    <n v="400"/>
    <n v="0.92"/>
    <n v="6095"/>
    <n v="6625"/>
  </r>
  <r>
    <x v="15"/>
    <x v="273"/>
    <x v="337"/>
    <x v="85"/>
    <x v="2"/>
    <n v="4"/>
    <n v="28000"/>
    <n v="72.400000000000006"/>
    <n v="900"/>
    <n v="330"/>
    <n v="600"/>
    <n v="1.65"/>
    <n v="49219.5"/>
    <n v="29830"/>
  </r>
  <r>
    <x v="0"/>
    <x v="97"/>
    <x v="100"/>
    <x v="1"/>
    <x v="0"/>
    <n v="2"/>
    <n v="48000"/>
    <n v="73.2"/>
    <n v="1600"/>
    <n v="160"/>
    <n v="1500"/>
    <n v="1"/>
    <n v="51260"/>
    <n v="51260"/>
  </r>
  <r>
    <x v="10"/>
    <x v="285"/>
    <x v="338"/>
    <x v="39"/>
    <x v="0"/>
    <n v="2"/>
    <n v="0"/>
    <n v="66.5"/>
    <n v="700"/>
    <n v="120"/>
    <n v="750"/>
    <n v="10.45"/>
    <n v="16406.5"/>
    <n v="1570"/>
  </r>
  <r>
    <x v="6"/>
    <x v="144"/>
    <x v="149"/>
    <x v="11"/>
    <x v="0"/>
    <n v="2"/>
    <n v="14500"/>
    <n v="69.8"/>
    <n v="900"/>
    <n v="171"/>
    <n v="720"/>
    <n v="0.92"/>
    <n v="14987.720000000001"/>
    <n v="16291"/>
  </r>
  <r>
    <x v="19"/>
    <x v="286"/>
    <x v="339"/>
    <x v="86"/>
    <x v="1"/>
    <n v="3"/>
    <n v="5500"/>
    <n v="53.2"/>
    <n v="400"/>
    <n v="75"/>
    <n v="400"/>
    <n v="0.92"/>
    <n v="5865"/>
    <n v="6375"/>
  </r>
  <r>
    <x v="26"/>
    <x v="287"/>
    <x v="340"/>
    <x v="0"/>
    <x v="0"/>
    <n v="2"/>
    <n v="3500"/>
    <n v="71.400000000000006"/>
    <n v="1100"/>
    <n v="80"/>
    <n v="750"/>
    <n v="0.92"/>
    <n v="4995.6000000000004"/>
    <n v="5430"/>
  </r>
  <r>
    <x v="27"/>
    <x v="54"/>
    <x v="56"/>
    <x v="44"/>
    <x v="0"/>
    <n v="2"/>
    <n v="4000"/>
    <n v="73.2"/>
    <n v="1200"/>
    <n v="120"/>
    <n v="700"/>
    <n v="0.92"/>
    <n v="5538.4000000000005"/>
    <n v="6020"/>
  </r>
  <r>
    <x v="34"/>
    <x v="123"/>
    <x v="128"/>
    <x v="27"/>
    <x v="2"/>
    <n v="4"/>
    <n v="0"/>
    <n v="65.8"/>
    <n v="650"/>
    <n v="100"/>
    <n v="600"/>
    <n v="0.92"/>
    <n v="1242"/>
    <n v="1350"/>
  </r>
  <r>
    <x v="16"/>
    <x v="17"/>
    <x v="341"/>
    <x v="39"/>
    <x v="0"/>
    <n v="2"/>
    <n v="1500"/>
    <n v="78.5"/>
    <n v="950"/>
    <n v="160"/>
    <n v="850"/>
    <n v="0.92"/>
    <n v="3183.2000000000003"/>
    <n v="3460"/>
  </r>
  <r>
    <x v="33"/>
    <x v="122"/>
    <x v="127"/>
    <x v="12"/>
    <x v="1"/>
    <n v="4"/>
    <n v="800"/>
    <n v="52.4"/>
    <n v="600"/>
    <n v="40"/>
    <n v="400"/>
    <n v="17.05"/>
    <n v="31372"/>
    <n v="1840"/>
  </r>
  <r>
    <x v="26"/>
    <x v="53"/>
    <x v="342"/>
    <x v="6"/>
    <x v="0"/>
    <n v="2"/>
    <n v="3800"/>
    <n v="73.599999999999994"/>
    <n v="1000"/>
    <n v="80"/>
    <n v="750"/>
    <n v="0.92"/>
    <n v="5179.6000000000004"/>
    <n v="5630"/>
  </r>
  <r>
    <x v="27"/>
    <x v="288"/>
    <x v="343"/>
    <x v="30"/>
    <x v="2"/>
    <n v="4"/>
    <n v="3500"/>
    <n v="71.2"/>
    <n v="1100"/>
    <n v="120"/>
    <n v="700"/>
    <n v="0.92"/>
    <n v="4986.4000000000005"/>
    <n v="5420"/>
  </r>
  <r>
    <x v="34"/>
    <x v="289"/>
    <x v="344"/>
    <x v="12"/>
    <x v="0"/>
    <n v="2"/>
    <n v="0"/>
    <n v="62.4"/>
    <n v="500"/>
    <n v="100"/>
    <n v="600"/>
    <n v="0.92"/>
    <n v="1104"/>
    <n v="1200"/>
  </r>
  <r>
    <x v="16"/>
    <x v="290"/>
    <x v="345"/>
    <x v="4"/>
    <x v="1"/>
    <n v="3"/>
    <n v="1500"/>
    <n v="71.2"/>
    <n v="750"/>
    <n v="160"/>
    <n v="850"/>
    <n v="0.92"/>
    <n v="2999.2000000000003"/>
    <n v="3260"/>
  </r>
  <r>
    <x v="33"/>
    <x v="291"/>
    <x v="346"/>
    <x v="1"/>
    <x v="0"/>
    <n v="2"/>
    <n v="12000"/>
    <n v="48.9"/>
    <n v="700"/>
    <n v="40"/>
    <n v="400"/>
    <n v="17.05"/>
    <n v="224037"/>
    <n v="13140"/>
  </r>
  <r>
    <x v="26"/>
    <x v="292"/>
    <x v="347"/>
    <x v="1"/>
    <x v="0"/>
    <n v="2"/>
    <n v="3200"/>
    <n v="68.5"/>
    <n v="800"/>
    <n v="80"/>
    <n v="750"/>
    <n v="0.92"/>
    <n v="4443.6000000000004"/>
    <n v="4830"/>
  </r>
  <r>
    <x v="27"/>
    <x v="293"/>
    <x v="348"/>
    <x v="12"/>
    <x v="0"/>
    <n v="2"/>
    <n v="3800"/>
    <n v="69.8"/>
    <n v="900"/>
    <n v="120"/>
    <n v="700"/>
    <n v="0.92"/>
    <n v="5078.4000000000005"/>
    <n v="5520"/>
  </r>
  <r>
    <x v="34"/>
    <x v="294"/>
    <x v="349"/>
    <x v="87"/>
    <x v="2"/>
    <n v="4"/>
    <n v="0"/>
    <n v="60.5"/>
    <n v="450"/>
    <n v="100"/>
    <n v="600"/>
    <n v="0.92"/>
    <n v="1058"/>
    <n v="1150"/>
  </r>
  <r>
    <x v="16"/>
    <x v="295"/>
    <x v="350"/>
    <x v="6"/>
    <x v="0"/>
    <n v="2"/>
    <n v="1500"/>
    <n v="70.400000000000006"/>
    <n v="700"/>
    <n v="160"/>
    <n v="850"/>
    <n v="0.92"/>
    <n v="2953.2000000000003"/>
    <n v="3210"/>
  </r>
  <r>
    <x v="33"/>
    <x v="296"/>
    <x v="351"/>
    <x v="39"/>
    <x v="1"/>
    <n v="4"/>
    <n v="900"/>
    <n v="45.6"/>
    <n v="500"/>
    <n v="40"/>
    <n v="400"/>
    <n v="17.05"/>
    <n v="31372"/>
    <n v="1840"/>
  </r>
  <r>
    <x v="26"/>
    <x v="297"/>
    <x v="352"/>
    <x v="30"/>
    <x v="0"/>
    <n v="2"/>
    <n v="3000"/>
    <n v="65.400000000000006"/>
    <n v="750"/>
    <n v="80"/>
    <n v="750"/>
    <n v="0.92"/>
    <n v="4213.6000000000004"/>
    <n v="4580"/>
  </r>
  <r>
    <x v="27"/>
    <x v="298"/>
    <x v="353"/>
    <x v="41"/>
    <x v="2"/>
    <n v="4"/>
    <n v="3600"/>
    <n v="70.5"/>
    <n v="950"/>
    <n v="120"/>
    <n v="700"/>
    <n v="0.92"/>
    <n v="4940.4000000000005"/>
    <n v="5370"/>
  </r>
  <r>
    <x v="34"/>
    <x v="299"/>
    <x v="354"/>
    <x v="0"/>
    <x v="0"/>
    <n v="2"/>
    <n v="0"/>
    <n v="61.2"/>
    <n v="480"/>
    <n v="100"/>
    <n v="600"/>
    <n v="0.92"/>
    <n v="1085.6000000000001"/>
    <n v="1180"/>
  </r>
  <r>
    <x v="16"/>
    <x v="300"/>
    <x v="355"/>
    <x v="14"/>
    <x v="1"/>
    <n v="3"/>
    <n v="1500"/>
    <n v="72.3"/>
    <n v="800"/>
    <n v="160"/>
    <n v="850"/>
    <n v="0.92"/>
    <n v="3045.2000000000003"/>
    <n v="3310"/>
  </r>
  <r>
    <x v="33"/>
    <x v="301"/>
    <x v="356"/>
    <x v="12"/>
    <x v="0"/>
    <n v="2"/>
    <n v="10000"/>
    <n v="44.5"/>
    <n v="450"/>
    <n v="40"/>
    <n v="400"/>
    <n v="17.05"/>
    <n v="185674.5"/>
    <n v="10890"/>
  </r>
  <r>
    <x v="26"/>
    <x v="302"/>
    <x v="357"/>
    <x v="0"/>
    <x v="2"/>
    <n v="4"/>
    <n v="3400"/>
    <n v="67.8"/>
    <n v="850"/>
    <n v="80"/>
    <n v="750"/>
    <n v="0.92"/>
    <n v="4673.6000000000004"/>
    <n v="5080"/>
  </r>
  <r>
    <x v="27"/>
    <x v="303"/>
    <x v="358"/>
    <x v="48"/>
    <x v="0"/>
    <n v="2"/>
    <n v="3500"/>
    <n v="71.2"/>
    <n v="1000"/>
    <n v="120"/>
    <n v="700"/>
    <n v="0.92"/>
    <n v="4894.4000000000005"/>
    <n v="5320"/>
  </r>
  <r>
    <x v="34"/>
    <x v="304"/>
    <x v="359"/>
    <x v="58"/>
    <x v="0"/>
    <n v="2"/>
    <n v="0"/>
    <n v="59.8"/>
    <n v="400"/>
    <n v="100"/>
    <n v="600"/>
    <n v="0.92"/>
    <n v="1012"/>
    <n v="1100"/>
  </r>
  <r>
    <x v="16"/>
    <x v="305"/>
    <x v="360"/>
    <x v="73"/>
    <x v="0"/>
    <n v="2"/>
    <n v="1500"/>
    <n v="71.5"/>
    <n v="780"/>
    <n v="160"/>
    <n v="850"/>
    <n v="0.92"/>
    <n v="3026.8"/>
    <n v="3290"/>
  </r>
  <r>
    <x v="33"/>
    <x v="306"/>
    <x v="361"/>
    <x v="14"/>
    <x v="1"/>
    <n v="4"/>
    <n v="11000"/>
    <n v="46.7"/>
    <n v="480"/>
    <n v="40"/>
    <n v="400"/>
    <n v="17.05"/>
    <n v="203236"/>
    <n v="11920"/>
  </r>
  <r>
    <x v="26"/>
    <x v="307"/>
    <x v="362"/>
    <x v="6"/>
    <x v="0"/>
    <n v="2"/>
    <n v="2800"/>
    <n v="64.5"/>
    <n v="700"/>
    <n v="80"/>
    <n v="750"/>
    <n v="0.92"/>
    <n v="3983.6000000000004"/>
    <n v="4330"/>
  </r>
  <r>
    <x v="27"/>
    <x v="308"/>
    <x v="363"/>
    <x v="39"/>
    <x v="2"/>
    <n v="4"/>
    <n v="3200"/>
    <n v="67.8"/>
    <n v="800"/>
    <n v="120"/>
    <n v="700"/>
    <n v="0.92"/>
    <n v="4434.4000000000005"/>
    <n v="4820"/>
  </r>
  <r>
    <x v="34"/>
    <x v="309"/>
    <x v="364"/>
    <x v="40"/>
    <x v="1"/>
    <n v="4"/>
    <n v="0"/>
    <n v="58.9"/>
    <n v="380"/>
    <n v="100"/>
    <n v="600"/>
    <n v="0.92"/>
    <n v="993.6"/>
    <n v="1080"/>
  </r>
  <r>
    <x v="16"/>
    <x v="310"/>
    <x v="365"/>
    <x v="1"/>
    <x v="0"/>
    <n v="2"/>
    <n v="1500"/>
    <n v="69.400000000000006"/>
    <n v="720"/>
    <n v="160"/>
    <n v="850"/>
    <n v="0.92"/>
    <n v="2971.6"/>
    <n v="3230"/>
  </r>
  <r>
    <x v="33"/>
    <x v="311"/>
    <x v="366"/>
    <x v="12"/>
    <x v="0"/>
    <n v="2"/>
    <n v="3500"/>
    <n v="43.2"/>
    <n v="400"/>
    <n v="40"/>
    <n v="400"/>
    <n v="17.05"/>
    <n v="73997"/>
    <n v="4340"/>
  </r>
  <r>
    <x v="26"/>
    <x v="312"/>
    <x v="367"/>
    <x v="30"/>
    <x v="0"/>
    <n v="2"/>
    <n v="2900"/>
    <n v="63.2"/>
    <n v="650"/>
    <n v="80"/>
    <n v="750"/>
    <n v="0.92"/>
    <n v="4029.6000000000004"/>
    <n v="4380"/>
  </r>
  <r>
    <x v="27"/>
    <x v="313"/>
    <x v="368"/>
    <x v="12"/>
    <x v="0"/>
    <n v="2"/>
    <n v="3300"/>
    <n v="68.900000000000006"/>
    <n v="850"/>
    <n v="120"/>
    <n v="700"/>
    <n v="0.92"/>
    <n v="4572.4000000000005"/>
    <n v="4970"/>
  </r>
  <r>
    <x v="34"/>
    <x v="314"/>
    <x v="369"/>
    <x v="61"/>
    <x v="0"/>
    <n v="2"/>
    <n v="0"/>
    <n v="61.2"/>
    <n v="420"/>
    <n v="100"/>
    <n v="600"/>
    <n v="0.92"/>
    <n v="1030.4000000000001"/>
    <n v="1120"/>
  </r>
  <r>
    <x v="16"/>
    <x v="315"/>
    <x v="370"/>
    <x v="20"/>
    <x v="2"/>
    <n v="4"/>
    <n v="1500"/>
    <n v="68.7"/>
    <n v="700"/>
    <n v="160"/>
    <n v="850"/>
    <n v="0.92"/>
    <n v="2953.2000000000003"/>
    <n v="3210"/>
  </r>
  <r>
    <x v="33"/>
    <x v="316"/>
    <x v="371"/>
    <x v="41"/>
    <x v="1"/>
    <n v="4"/>
    <n v="9500"/>
    <n v="45.4"/>
    <n v="550"/>
    <n v="40"/>
    <n v="400"/>
    <n v="17.05"/>
    <n v="178854.5"/>
    <n v="10490"/>
  </r>
  <r>
    <x v="26"/>
    <x v="317"/>
    <x v="372"/>
    <x v="1"/>
    <x v="2"/>
    <n v="4"/>
    <n v="3100"/>
    <n v="62.1"/>
    <n v="600"/>
    <n v="80"/>
    <n v="750"/>
    <n v="0.92"/>
    <n v="4167.6000000000004"/>
    <n v="4530"/>
  </r>
  <r>
    <x v="27"/>
    <x v="318"/>
    <x v="373"/>
    <x v="6"/>
    <x v="0"/>
    <n v="2"/>
    <n v="3400"/>
    <n v="69.5"/>
    <n v="900"/>
    <n v="120"/>
    <n v="700"/>
    <n v="0.92"/>
    <n v="4710.4000000000005"/>
    <n v="5120"/>
  </r>
  <r>
    <x v="34"/>
    <x v="319"/>
    <x v="374"/>
    <x v="88"/>
    <x v="0"/>
    <n v="2"/>
    <n v="0"/>
    <n v="60.4"/>
    <n v="450"/>
    <n v="100"/>
    <n v="600"/>
    <n v="0.92"/>
    <n v="1058"/>
    <n v="1150"/>
  </r>
  <r>
    <x v="16"/>
    <x v="320"/>
    <x v="375"/>
    <x v="42"/>
    <x v="1"/>
    <n v="3"/>
    <n v="1500"/>
    <n v="70.2"/>
    <n v="800"/>
    <n v="160"/>
    <n v="850"/>
    <n v="0.92"/>
    <n v="3045.2000000000003"/>
    <n v="3310"/>
  </r>
  <r>
    <x v="33"/>
    <x v="321"/>
    <x v="376"/>
    <x v="64"/>
    <x v="0"/>
    <n v="2"/>
    <n v="2800"/>
    <n v="42.8"/>
    <n v="380"/>
    <n v="40"/>
    <n v="400"/>
    <n v="17.05"/>
    <n v="61721"/>
    <n v="3620"/>
  </r>
  <r>
    <x v="31"/>
    <x v="120"/>
    <x v="125"/>
    <x v="12"/>
    <x v="0"/>
    <n v="2"/>
    <n v="1500"/>
    <n v="51.2"/>
    <n v="600"/>
    <n v="90"/>
    <n v="500"/>
    <n v="28.5"/>
    <n v="76665"/>
    <n v="2690"/>
  </r>
  <r>
    <x v="34"/>
    <x v="123"/>
    <x v="377"/>
    <x v="1"/>
    <x v="0"/>
    <n v="2"/>
    <n v="0"/>
    <n v="65.8"/>
    <n v="650"/>
    <n v="100"/>
    <n v="600"/>
    <n v="0.92"/>
    <n v="1242"/>
    <n v="1350"/>
  </r>
  <r>
    <x v="17"/>
    <x v="322"/>
    <x v="18"/>
    <x v="6"/>
    <x v="2"/>
    <n v="4"/>
    <n v="3800"/>
    <n v="76.5"/>
    <n v="950"/>
    <n v="180"/>
    <n v="800"/>
    <n v="0.92"/>
    <n v="5271.6"/>
    <n v="5730"/>
  </r>
  <r>
    <x v="44"/>
    <x v="323"/>
    <x v="378"/>
    <x v="39"/>
    <x v="0"/>
    <n v="2"/>
    <n v="6500"/>
    <n v="53.4"/>
    <n v="500"/>
    <n v="140"/>
    <n v="450"/>
    <n v="350.25"/>
    <n v="2658397.5"/>
    <n v="7590"/>
  </r>
  <r>
    <x v="32"/>
    <x v="121"/>
    <x v="126"/>
    <x v="0"/>
    <x v="1"/>
    <n v="4"/>
    <n v="5500"/>
    <n v="62.3"/>
    <n v="600"/>
    <n v="160"/>
    <n v="400"/>
    <n v="95.5"/>
    <n v="636030"/>
    <n v="6660"/>
  </r>
  <r>
    <x v="31"/>
    <x v="324"/>
    <x v="379"/>
    <x v="44"/>
    <x v="0"/>
    <n v="2"/>
    <n v="1200"/>
    <n v="48.5"/>
    <n v="450"/>
    <n v="90"/>
    <n v="500"/>
    <n v="28.5"/>
    <n v="63840"/>
    <n v="2240"/>
  </r>
  <r>
    <x v="34"/>
    <x v="289"/>
    <x v="380"/>
    <x v="40"/>
    <x v="2"/>
    <n v="4"/>
    <n v="0"/>
    <n v="62.4"/>
    <n v="500"/>
    <n v="100"/>
    <n v="600"/>
    <n v="0.92"/>
    <n v="1104"/>
    <n v="1200"/>
  </r>
  <r>
    <x v="17"/>
    <x v="325"/>
    <x v="381"/>
    <x v="0"/>
    <x v="0"/>
    <n v="2"/>
    <n v="3500"/>
    <n v="72.8"/>
    <n v="850"/>
    <n v="180"/>
    <n v="800"/>
    <n v="0.92"/>
    <n v="4903.6000000000004"/>
    <n v="5330"/>
  </r>
  <r>
    <x v="44"/>
    <x v="326"/>
    <x v="382"/>
    <x v="73"/>
    <x v="1"/>
    <n v="3"/>
    <n v="5800"/>
    <n v="48.9"/>
    <n v="400"/>
    <n v="140"/>
    <n v="450"/>
    <n v="350.25"/>
    <n v="2378197.5"/>
    <n v="6790"/>
  </r>
  <r>
    <x v="32"/>
    <x v="327"/>
    <x v="383"/>
    <x v="1"/>
    <x v="0"/>
    <n v="2"/>
    <n v="5000"/>
    <n v="60.1"/>
    <n v="550"/>
    <n v="160"/>
    <n v="400"/>
    <n v="95.5"/>
    <n v="583505"/>
    <n v="6110"/>
  </r>
  <r>
    <x v="31"/>
    <x v="328"/>
    <x v="384"/>
    <x v="25"/>
    <x v="2"/>
    <n v="4"/>
    <n v="1300"/>
    <n v="47.8"/>
    <n v="400"/>
    <n v="90"/>
    <n v="500"/>
    <n v="28.5"/>
    <n v="65265"/>
    <n v="2290"/>
  </r>
  <r>
    <x v="34"/>
    <x v="294"/>
    <x v="349"/>
    <x v="12"/>
    <x v="0"/>
    <n v="2"/>
    <n v="0"/>
    <n v="60.5"/>
    <n v="450"/>
    <n v="100"/>
    <n v="600"/>
    <n v="0.92"/>
    <n v="1058"/>
    <n v="1150"/>
  </r>
  <r>
    <x v="17"/>
    <x v="18"/>
    <x v="385"/>
    <x v="30"/>
    <x v="0"/>
    <n v="2"/>
    <n v="3600"/>
    <n v="75.400000000000006"/>
    <n v="900"/>
    <n v="180"/>
    <n v="800"/>
    <n v="0.92"/>
    <n v="5041.6000000000004"/>
    <n v="5480"/>
  </r>
  <r>
    <x v="44"/>
    <x v="329"/>
    <x v="386"/>
    <x v="0"/>
    <x v="2"/>
    <n v="4"/>
    <n v="6000"/>
    <n v="47.2"/>
    <n v="380"/>
    <n v="140"/>
    <n v="450"/>
    <n v="350.25"/>
    <n v="2441242.5"/>
    <n v="6970"/>
  </r>
  <r>
    <x v="32"/>
    <x v="330"/>
    <x v="387"/>
    <x v="22"/>
    <x v="0"/>
    <n v="2"/>
    <n v="4800"/>
    <n v="55.4"/>
    <n v="400"/>
    <n v="160"/>
    <n v="400"/>
    <n v="95.5"/>
    <n v="550080"/>
    <n v="5760"/>
  </r>
  <r>
    <x v="31"/>
    <x v="331"/>
    <x v="388"/>
    <x v="40"/>
    <x v="1"/>
    <n v="4"/>
    <n v="1000"/>
    <n v="45.6"/>
    <n v="350"/>
    <n v="90"/>
    <n v="500"/>
    <n v="28.5"/>
    <n v="55290"/>
    <n v="1940"/>
  </r>
  <r>
    <x v="34"/>
    <x v="299"/>
    <x v="354"/>
    <x v="14"/>
    <x v="0"/>
    <n v="2"/>
    <n v="0"/>
    <n v="61.2"/>
    <n v="480"/>
    <n v="100"/>
    <n v="600"/>
    <n v="0.92"/>
    <n v="1085.6000000000001"/>
    <n v="1180"/>
  </r>
  <r>
    <x v="17"/>
    <x v="332"/>
    <x v="389"/>
    <x v="0"/>
    <x v="2"/>
    <n v="4"/>
    <n v="3700"/>
    <n v="71.2"/>
    <n v="800"/>
    <n v="180"/>
    <n v="800"/>
    <n v="0.92"/>
    <n v="5041.6000000000004"/>
    <n v="5480"/>
  </r>
  <r>
    <x v="44"/>
    <x v="333"/>
    <x v="390"/>
    <x v="42"/>
    <x v="0"/>
    <n v="2"/>
    <n v="5500"/>
    <n v="46.8"/>
    <n v="350"/>
    <n v="140"/>
    <n v="450"/>
    <n v="350.25"/>
    <n v="2255610"/>
    <n v="6440"/>
  </r>
  <r>
    <x v="32"/>
    <x v="334"/>
    <x v="391"/>
    <x v="6"/>
    <x v="1"/>
    <n v="4"/>
    <n v="4500"/>
    <n v="52.3"/>
    <n v="380"/>
    <n v="160"/>
    <n v="400"/>
    <n v="95.5"/>
    <n v="519520"/>
    <n v="5440"/>
  </r>
  <r>
    <x v="31"/>
    <x v="335"/>
    <x v="392"/>
    <x v="0"/>
    <x v="0"/>
    <n v="2"/>
    <n v="1100"/>
    <n v="46.5"/>
    <n v="380"/>
    <n v="90"/>
    <n v="500"/>
    <n v="28.5"/>
    <n v="58995"/>
    <n v="2070"/>
  </r>
  <r>
    <x v="34"/>
    <x v="304"/>
    <x v="359"/>
    <x v="48"/>
    <x v="2"/>
    <n v="4"/>
    <n v="0"/>
    <n v="59.8"/>
    <n v="400"/>
    <n v="100"/>
    <n v="600"/>
    <n v="0.92"/>
    <n v="1012"/>
    <n v="1100"/>
  </r>
  <r>
    <x v="17"/>
    <x v="336"/>
    <x v="393"/>
    <x v="44"/>
    <x v="0"/>
    <n v="2"/>
    <n v="3500"/>
    <n v="70.5"/>
    <n v="780"/>
    <n v="180"/>
    <n v="800"/>
    <n v="0.92"/>
    <n v="4839.2"/>
    <n v="5260"/>
  </r>
  <r>
    <x v="44"/>
    <x v="337"/>
    <x v="394"/>
    <x v="30"/>
    <x v="1"/>
    <n v="3"/>
    <n v="5200"/>
    <n v="45.6"/>
    <n v="320"/>
    <n v="140"/>
    <n v="450"/>
    <n v="350.25"/>
    <n v="2140027.5"/>
    <n v="6110"/>
  </r>
  <r>
    <x v="32"/>
    <x v="338"/>
    <x v="395"/>
    <x v="39"/>
    <x v="0"/>
    <n v="2"/>
    <n v="4600"/>
    <n v="51.2"/>
    <n v="350"/>
    <n v="160"/>
    <n v="400"/>
    <n v="95.5"/>
    <n v="526205"/>
    <n v="5510"/>
  </r>
  <r>
    <x v="31"/>
    <x v="339"/>
    <x v="396"/>
    <x v="1"/>
    <x v="2"/>
    <n v="4"/>
    <n v="1400"/>
    <n v="47.8"/>
    <n v="420"/>
    <n v="90"/>
    <n v="500"/>
    <n v="28.5"/>
    <n v="68685"/>
    <n v="2410"/>
  </r>
  <r>
    <x v="34"/>
    <x v="340"/>
    <x v="397"/>
    <x v="41"/>
    <x v="0"/>
    <n v="2"/>
    <n v="0"/>
    <n v="63.4"/>
    <n v="550"/>
    <n v="100"/>
    <n v="600"/>
    <n v="0.92"/>
    <n v="1150"/>
    <n v="1250"/>
  </r>
  <r>
    <x v="17"/>
    <x v="341"/>
    <x v="398"/>
    <x v="6"/>
    <x v="1"/>
    <n v="3"/>
    <n v="3400"/>
    <n v="69.8"/>
    <n v="750"/>
    <n v="180"/>
    <n v="800"/>
    <n v="0.92"/>
    <n v="4719.6000000000004"/>
    <n v="5130"/>
  </r>
  <r>
    <x v="44"/>
    <x v="342"/>
    <x v="399"/>
    <x v="12"/>
    <x v="0"/>
    <n v="2"/>
    <n v="5300"/>
    <n v="44.5"/>
    <n v="300"/>
    <n v="140"/>
    <n v="450"/>
    <n v="350.25"/>
    <n v="2168047.5"/>
    <n v="6190"/>
  </r>
  <r>
    <x v="32"/>
    <x v="343"/>
    <x v="400"/>
    <x v="14"/>
    <x v="2"/>
    <n v="4"/>
    <n v="4700"/>
    <n v="53.4"/>
    <n v="400"/>
    <n v="160"/>
    <n v="400"/>
    <n v="95.5"/>
    <n v="540530"/>
    <n v="5660"/>
  </r>
  <r>
    <x v="31"/>
    <x v="344"/>
    <x v="401"/>
    <x v="39"/>
    <x v="0"/>
    <n v="2"/>
    <n v="1200"/>
    <n v="45.2"/>
    <n v="350"/>
    <n v="90"/>
    <n v="500"/>
    <n v="28.5"/>
    <n v="60990"/>
    <n v="2140"/>
  </r>
  <r>
    <x v="34"/>
    <x v="345"/>
    <x v="402"/>
    <x v="12"/>
    <x v="1"/>
    <n v="4"/>
    <n v="0"/>
    <n v="58.7"/>
    <n v="380"/>
    <n v="100"/>
    <n v="600"/>
    <n v="0.92"/>
    <n v="993.6"/>
    <n v="1080"/>
  </r>
  <r>
    <x v="17"/>
    <x v="346"/>
    <x v="403"/>
    <x v="1"/>
    <x v="2"/>
    <n v="4"/>
    <n v="3600"/>
    <n v="68.900000000000006"/>
    <n v="720"/>
    <n v="180"/>
    <n v="800"/>
    <n v="0.92"/>
    <n v="4876"/>
    <n v="5300"/>
  </r>
  <r>
    <x v="44"/>
    <x v="347"/>
    <x v="404"/>
    <x v="40"/>
    <x v="0"/>
    <n v="2"/>
    <n v="5100"/>
    <n v="44.8"/>
    <n v="310"/>
    <n v="140"/>
    <n v="450"/>
    <n v="350.25"/>
    <n v="2101500"/>
    <n v="6000"/>
  </r>
  <r>
    <x v="32"/>
    <x v="348"/>
    <x v="405"/>
    <x v="0"/>
    <x v="0"/>
    <n v="2"/>
    <n v="4400"/>
    <n v="50.5"/>
    <n v="370"/>
    <n v="160"/>
    <n v="400"/>
    <n v="95.5"/>
    <n v="509015"/>
    <n v="5330"/>
  </r>
  <r>
    <x v="31"/>
    <x v="349"/>
    <x v="406"/>
    <x v="6"/>
    <x v="1"/>
    <n v="4"/>
    <n v="1000"/>
    <n v="44.5"/>
    <n v="330"/>
    <n v="90"/>
    <n v="500"/>
    <n v="28.5"/>
    <n v="54720"/>
    <n v="1920"/>
  </r>
  <r>
    <x v="34"/>
    <x v="350"/>
    <x v="369"/>
    <x v="58"/>
    <x v="0"/>
    <n v="2"/>
    <n v="0"/>
    <n v="59.2"/>
    <n v="400"/>
    <n v="100"/>
    <n v="600"/>
    <n v="0.92"/>
    <n v="1012"/>
    <n v="1100"/>
  </r>
  <r>
    <x v="17"/>
    <x v="351"/>
    <x v="407"/>
    <x v="12"/>
    <x v="0"/>
    <n v="2"/>
    <n v="3500"/>
    <n v="67.8"/>
    <n v="700"/>
    <n v="180"/>
    <n v="800"/>
    <n v="0.92"/>
    <n v="4765.6000000000004"/>
    <n v="5180"/>
  </r>
  <r>
    <x v="44"/>
    <x v="352"/>
    <x v="408"/>
    <x v="14"/>
    <x v="2"/>
    <n v="4"/>
    <n v="5400"/>
    <n v="43.9"/>
    <n v="290"/>
    <n v="140"/>
    <n v="450"/>
    <n v="350.25"/>
    <n v="2199570"/>
    <n v="6280"/>
  </r>
  <r>
    <x v="32"/>
    <x v="353"/>
    <x v="409"/>
    <x v="41"/>
    <x v="1"/>
    <n v="4"/>
    <n v="4200"/>
    <n v="49.8"/>
    <n v="350"/>
    <n v="160"/>
    <n v="400"/>
    <n v="95.5"/>
    <n v="488005"/>
    <n v="5110"/>
  </r>
  <r>
    <x v="30"/>
    <x v="119"/>
    <x v="124"/>
    <x v="0"/>
    <x v="0"/>
    <n v="2"/>
    <n v="0"/>
    <n v="55.8"/>
    <n v="600"/>
    <n v="90"/>
    <n v="400"/>
    <n v="4.95"/>
    <n v="5395.5"/>
    <n v="1090"/>
  </r>
  <r>
    <x v="23"/>
    <x v="42"/>
    <x v="44"/>
    <x v="1"/>
    <x v="2"/>
    <n v="4"/>
    <n v="2000"/>
    <n v="45.2"/>
    <n v="300"/>
    <n v="180"/>
    <n v="300"/>
    <n v="82.75"/>
    <n v="230045"/>
    <n v="2780"/>
  </r>
  <r>
    <x v="35"/>
    <x v="124"/>
    <x v="129"/>
    <x v="39"/>
    <x v="0"/>
    <n v="2"/>
    <n v="15000"/>
    <n v="51.4"/>
    <n v="500"/>
    <n v="80"/>
    <n v="350"/>
    <n v="35.25"/>
    <n v="561532.5"/>
    <n v="15930"/>
  </r>
  <r>
    <x v="38"/>
    <x v="130"/>
    <x v="410"/>
    <x v="12"/>
    <x v="1"/>
    <n v="4"/>
    <n v="2500"/>
    <n v="31.8"/>
    <n v="250"/>
    <n v="100"/>
    <n v="200"/>
    <n v="30.9"/>
    <n v="94245"/>
    <n v="3050"/>
  </r>
  <r>
    <x v="7"/>
    <x v="7"/>
    <x v="7"/>
    <x v="6"/>
    <x v="0"/>
    <n v="2"/>
    <n v="42000"/>
    <n v="83.8"/>
    <n v="1200"/>
    <n v="90"/>
    <n v="800"/>
    <n v="1.35"/>
    <n v="59521.500000000007"/>
    <n v="44090"/>
  </r>
  <r>
    <x v="36"/>
    <x v="125"/>
    <x v="411"/>
    <x v="14"/>
    <x v="0"/>
    <n v="2"/>
    <n v="25000"/>
    <n v="72.400000000000006"/>
    <n v="1100"/>
    <n v="270"/>
    <n v="750"/>
    <n v="3.67"/>
    <n v="99530.4"/>
    <n v="27120"/>
  </r>
  <r>
    <x v="30"/>
    <x v="354"/>
    <x v="412"/>
    <x v="40"/>
    <x v="2"/>
    <n v="4"/>
    <n v="8000"/>
    <n v="53.2"/>
    <n v="550"/>
    <n v="90"/>
    <n v="400"/>
    <n v="4.95"/>
    <n v="44748"/>
    <n v="9040"/>
  </r>
  <r>
    <x v="23"/>
    <x v="355"/>
    <x v="413"/>
    <x v="12"/>
    <x v="0"/>
    <n v="2"/>
    <n v="1800"/>
    <n v="47.5"/>
    <n v="350"/>
    <n v="180"/>
    <n v="300"/>
    <n v="82.75"/>
    <n v="217632.5"/>
    <n v="2630"/>
  </r>
  <r>
    <x v="35"/>
    <x v="356"/>
    <x v="414"/>
    <x v="1"/>
    <x v="1"/>
    <n v="4"/>
    <n v="12000"/>
    <n v="45.6"/>
    <n v="300"/>
    <n v="80"/>
    <n v="350"/>
    <n v="35.25"/>
    <n v="448732.5"/>
    <n v="12730"/>
  </r>
  <r>
    <x v="7"/>
    <x v="7"/>
    <x v="151"/>
    <x v="0"/>
    <x v="2"/>
    <n v="4"/>
    <n v="40000"/>
    <n v="83.8"/>
    <n v="1100"/>
    <n v="90"/>
    <n v="800"/>
    <n v="1.35"/>
    <n v="56686.500000000007"/>
    <n v="41990"/>
  </r>
  <r>
    <x v="36"/>
    <x v="357"/>
    <x v="415"/>
    <x v="30"/>
    <x v="0"/>
    <n v="2"/>
    <n v="27000"/>
    <n v="71.8"/>
    <n v="1000"/>
    <n v="270"/>
    <n v="750"/>
    <n v="3.67"/>
    <n v="106503.4"/>
    <n v="29020"/>
  </r>
  <r>
    <x v="30"/>
    <x v="358"/>
    <x v="416"/>
    <x v="12"/>
    <x v="0"/>
    <n v="2"/>
    <n v="0"/>
    <n v="51.4"/>
    <n v="450"/>
    <n v="90"/>
    <n v="400"/>
    <n v="4.95"/>
    <n v="4653"/>
    <n v="940"/>
  </r>
  <r>
    <x v="23"/>
    <x v="359"/>
    <x v="417"/>
    <x v="6"/>
    <x v="2"/>
    <n v="4"/>
    <n v="1900"/>
    <n v="44.8"/>
    <n v="320"/>
    <n v="180"/>
    <n v="300"/>
    <n v="82.75"/>
    <n v="223425"/>
    <n v="2700"/>
  </r>
  <r>
    <x v="35"/>
    <x v="360"/>
    <x v="418"/>
    <x v="41"/>
    <x v="0"/>
    <n v="2"/>
    <n v="11000"/>
    <n v="42.5"/>
    <n v="250"/>
    <n v="80"/>
    <n v="350"/>
    <n v="35.25"/>
    <n v="411720"/>
    <n v="11680"/>
  </r>
  <r>
    <x v="38"/>
    <x v="361"/>
    <x v="419"/>
    <x v="39"/>
    <x v="0"/>
    <n v="2"/>
    <n v="2200"/>
    <n v="30.5"/>
    <n v="200"/>
    <n v="100"/>
    <n v="200"/>
    <n v="30.9"/>
    <n v="83430"/>
    <n v="2700"/>
  </r>
  <r>
    <x v="7"/>
    <x v="7"/>
    <x v="152"/>
    <x v="14"/>
    <x v="1"/>
    <n v="4"/>
    <n v="38000"/>
    <n v="83.8"/>
    <n v="1150"/>
    <n v="90"/>
    <n v="800"/>
    <n v="1.35"/>
    <n v="54054"/>
    <n v="40040"/>
  </r>
  <r>
    <x v="36"/>
    <x v="362"/>
    <x v="420"/>
    <x v="0"/>
    <x v="2"/>
    <n v="4"/>
    <n v="26000"/>
    <n v="68.5"/>
    <n v="900"/>
    <n v="270"/>
    <n v="750"/>
    <n v="3.67"/>
    <n v="102466.4"/>
    <n v="27920"/>
  </r>
  <r>
    <x v="30"/>
    <x v="363"/>
    <x v="421"/>
    <x v="1"/>
    <x v="1"/>
    <n v="4"/>
    <n v="0"/>
    <n v="49.8"/>
    <n v="400"/>
    <n v="90"/>
    <n v="400"/>
    <n v="4.95"/>
    <n v="4405.5"/>
    <n v="890"/>
  </r>
  <r>
    <x v="23"/>
    <x v="364"/>
    <x v="422"/>
    <x v="39"/>
    <x v="0"/>
    <n v="2"/>
    <n v="1700"/>
    <n v="42.4"/>
    <n v="280"/>
    <n v="180"/>
    <n v="300"/>
    <n v="82.75"/>
    <n v="203565"/>
    <n v="2460"/>
  </r>
  <r>
    <x v="35"/>
    <x v="365"/>
    <x v="423"/>
    <x v="12"/>
    <x v="0"/>
    <n v="2"/>
    <n v="10000"/>
    <n v="44.8"/>
    <n v="300"/>
    <n v="80"/>
    <n v="350"/>
    <n v="35.25"/>
    <n v="378232.5"/>
    <n v="10730"/>
  </r>
  <r>
    <x v="38"/>
    <x v="366"/>
    <x v="424"/>
    <x v="1"/>
    <x v="2"/>
    <n v="4"/>
    <n v="2400"/>
    <n v="31.2"/>
    <n v="220"/>
    <n v="100"/>
    <n v="200"/>
    <n v="30.9"/>
    <n v="90228"/>
    <n v="2920"/>
  </r>
  <r>
    <x v="7"/>
    <x v="7"/>
    <x v="425"/>
    <x v="6"/>
    <x v="0"/>
    <n v="2"/>
    <n v="39000"/>
    <n v="83.8"/>
    <n v="1100"/>
    <n v="90"/>
    <n v="800"/>
    <n v="1.35"/>
    <n v="55336.500000000007"/>
    <n v="40990"/>
  </r>
  <r>
    <x v="36"/>
    <x v="367"/>
    <x v="426"/>
    <x v="40"/>
    <x v="1"/>
    <n v="4"/>
    <n v="23000"/>
    <n v="65.400000000000006"/>
    <n v="800"/>
    <n v="270"/>
    <n v="750"/>
    <n v="3.67"/>
    <n v="91089.4"/>
    <n v="24820"/>
  </r>
  <r>
    <x v="30"/>
    <x v="368"/>
    <x v="427"/>
    <x v="12"/>
    <x v="0"/>
    <n v="2"/>
    <n v="0"/>
    <n v="47.5"/>
    <n v="350"/>
    <n v="90"/>
    <n v="400"/>
    <n v="4.95"/>
    <n v="4158"/>
    <n v="840"/>
  </r>
  <r>
    <x v="23"/>
    <x v="369"/>
    <x v="428"/>
    <x v="14"/>
    <x v="2"/>
    <n v="4"/>
    <n v="1800"/>
    <n v="41.2"/>
    <n v="260"/>
    <n v="180"/>
    <n v="300"/>
    <n v="82.75"/>
    <n v="210185"/>
    <n v="2540"/>
  </r>
  <r>
    <x v="35"/>
    <x v="370"/>
    <x v="423"/>
    <x v="39"/>
    <x v="1"/>
    <n v="4"/>
    <n v="9500"/>
    <n v="43.2"/>
    <n v="280"/>
    <n v="80"/>
    <n v="350"/>
    <n v="35.25"/>
    <n v="359902.5"/>
    <n v="10210"/>
  </r>
  <r>
    <x v="38"/>
    <x v="371"/>
    <x v="429"/>
    <x v="0"/>
    <x v="0"/>
    <n v="2"/>
    <n v="2100"/>
    <n v="29.8"/>
    <n v="180"/>
    <n v="100"/>
    <n v="200"/>
    <n v="30.9"/>
    <n v="79722"/>
    <n v="2580"/>
  </r>
  <r>
    <x v="7"/>
    <x v="7"/>
    <x v="153"/>
    <x v="30"/>
    <x v="2"/>
    <n v="4"/>
    <n v="37000"/>
    <n v="83.8"/>
    <n v="1050"/>
    <n v="90"/>
    <n v="800"/>
    <n v="1.35"/>
    <n v="52569"/>
    <n v="38940"/>
  </r>
  <r>
    <x v="36"/>
    <x v="372"/>
    <x v="430"/>
    <x v="1"/>
    <x v="0"/>
    <n v="2"/>
    <n v="24000"/>
    <n v="64.2"/>
    <n v="750"/>
    <n v="270"/>
    <n v="750"/>
    <n v="3.67"/>
    <n v="94575.9"/>
    <n v="25770"/>
  </r>
  <r>
    <x v="30"/>
    <x v="373"/>
    <x v="431"/>
    <x v="41"/>
    <x v="2"/>
    <n v="4"/>
    <n v="0"/>
    <n v="48.9"/>
    <n v="400"/>
    <n v="90"/>
    <n v="400"/>
    <n v="4.95"/>
    <n v="4405.5"/>
    <n v="890"/>
  </r>
  <r>
    <x v="23"/>
    <x v="374"/>
    <x v="432"/>
    <x v="0"/>
    <x v="0"/>
    <n v="2"/>
    <n v="1600"/>
    <n v="40.5"/>
    <n v="250"/>
    <n v="180"/>
    <n v="300"/>
    <n v="82.75"/>
    <n v="192807.5"/>
    <n v="2330"/>
  </r>
  <r>
    <x v="35"/>
    <x v="375"/>
    <x v="433"/>
    <x v="44"/>
    <x v="0"/>
    <n v="2"/>
    <n v="9000"/>
    <n v="41.8"/>
    <n v="250"/>
    <n v="80"/>
    <n v="350"/>
    <n v="35.25"/>
    <n v="341220"/>
    <n v="9680"/>
  </r>
  <r>
    <x v="38"/>
    <x v="376"/>
    <x v="434"/>
    <x v="40"/>
    <x v="1"/>
    <n v="4"/>
    <n v="2000"/>
    <n v="28.5"/>
    <n v="170"/>
    <n v="100"/>
    <n v="200"/>
    <n v="30.9"/>
    <n v="76323"/>
    <n v="2470"/>
  </r>
  <r>
    <x v="7"/>
    <x v="7"/>
    <x v="435"/>
    <x v="39"/>
    <x v="1"/>
    <n v="4"/>
    <n v="35000"/>
    <n v="83.8"/>
    <n v="1000"/>
    <n v="90"/>
    <n v="800"/>
    <n v="1.35"/>
    <n v="49801.5"/>
    <n v="36890"/>
  </r>
  <r>
    <x v="36"/>
    <x v="377"/>
    <x v="436"/>
    <x v="12"/>
    <x v="0"/>
    <n v="2"/>
    <n v="22000"/>
    <n v="62.5"/>
    <n v="700"/>
    <n v="270"/>
    <n v="750"/>
    <n v="3.67"/>
    <n v="87052.4"/>
    <n v="23720"/>
  </r>
  <r>
    <x v="30"/>
    <x v="378"/>
    <x v="437"/>
    <x v="1"/>
    <x v="0"/>
    <n v="2"/>
    <n v="0"/>
    <n v="46.8"/>
    <n v="380"/>
    <n v="90"/>
    <n v="400"/>
    <n v="4.95"/>
    <n v="4306.5"/>
    <n v="870"/>
  </r>
  <r>
    <x v="23"/>
    <x v="379"/>
    <x v="438"/>
    <x v="6"/>
    <x v="2"/>
    <n v="4"/>
    <n v="1900"/>
    <n v="39.799999999999997"/>
    <n v="240"/>
    <n v="180"/>
    <n v="300"/>
    <n v="82.75"/>
    <n v="216805"/>
    <n v="2620"/>
  </r>
  <r>
    <x v="35"/>
    <x v="380"/>
    <x v="439"/>
    <x v="12"/>
    <x v="1"/>
    <n v="4"/>
    <n v="8500"/>
    <n v="42.5"/>
    <n v="270"/>
    <n v="80"/>
    <n v="350"/>
    <n v="35.25"/>
    <n v="324300"/>
    <n v="9200"/>
  </r>
  <r>
    <x v="38"/>
    <x v="381"/>
    <x v="440"/>
    <x v="14"/>
    <x v="0"/>
    <n v="2"/>
    <n v="1900"/>
    <n v="27.8"/>
    <n v="160"/>
    <n v="100"/>
    <n v="200"/>
    <n v="30.9"/>
    <n v="72924"/>
    <n v="2360"/>
  </r>
  <r>
    <x v="36"/>
    <x v="382"/>
    <x v="441"/>
    <x v="41"/>
    <x v="1"/>
    <n v="4"/>
    <n v="21000"/>
    <n v="61.4"/>
    <n v="650"/>
    <n v="270"/>
    <n v="750"/>
    <n v="3.67"/>
    <n v="83198.899999999994"/>
    <n v="22670"/>
  </r>
  <r>
    <x v="45"/>
    <x v="383"/>
    <x v="442"/>
    <x v="0"/>
    <x v="0"/>
    <n v="2"/>
    <n v="0"/>
    <n v="84.5"/>
    <n v="1200"/>
    <n v="140"/>
    <n v="900"/>
    <n v="137.5"/>
    <n v="308000"/>
    <n v="2240"/>
  </r>
  <r>
    <x v="46"/>
    <x v="384"/>
    <x v="443"/>
    <x v="39"/>
    <x v="0"/>
    <n v="2"/>
    <n v="3500"/>
    <n v="41.2"/>
    <n v="400"/>
    <n v="80"/>
    <n v="300"/>
    <n v="3950"/>
    <n v="16906000"/>
    <n v="4280"/>
  </r>
  <r>
    <x v="24"/>
    <x v="44"/>
    <x v="46"/>
    <x v="1"/>
    <x v="2"/>
    <n v="4"/>
    <n v="3000"/>
    <n v="54.8"/>
    <n v="650"/>
    <n v="80"/>
    <n v="400"/>
    <n v="4.0999999999999996"/>
    <n v="16933"/>
    <n v="4130"/>
  </r>
  <r>
    <x v="47"/>
    <x v="385"/>
    <x v="444"/>
    <x v="12"/>
    <x v="1"/>
    <n v="3"/>
    <n v="2500"/>
    <n v="45.2"/>
    <n v="450"/>
    <n v="120"/>
    <n v="350"/>
    <n v="4.6500000000000004"/>
    <n v="15903.000000000002"/>
    <n v="3420"/>
  </r>
  <r>
    <x v="48"/>
    <x v="386"/>
    <x v="445"/>
    <x v="6"/>
    <x v="0"/>
    <n v="2"/>
    <n v="400"/>
    <n v="83.2"/>
    <n v="1400"/>
    <n v="100"/>
    <n v="800"/>
    <n v="0.92"/>
    <n v="2484"/>
    <n v="2700"/>
  </r>
  <r>
    <x v="40"/>
    <x v="132"/>
    <x v="137"/>
    <x v="40"/>
    <x v="0"/>
    <n v="2"/>
    <n v="5000"/>
    <n v="45.8"/>
    <n v="400"/>
    <n v="150"/>
    <n v="250"/>
    <n v="15600"/>
    <n v="90480000"/>
    <n v="5800"/>
  </r>
  <r>
    <x v="45"/>
    <x v="387"/>
    <x v="446"/>
    <x v="14"/>
    <x v="1"/>
    <n v="3"/>
    <n v="0"/>
    <n v="78.400000000000006"/>
    <n v="900"/>
    <n v="140"/>
    <n v="900"/>
    <n v="137.5"/>
    <n v="266750"/>
    <n v="1940"/>
  </r>
  <r>
    <x v="46"/>
    <x v="388"/>
    <x v="447"/>
    <x v="0"/>
    <x v="2"/>
    <n v="4"/>
    <n v="4000"/>
    <n v="38.5"/>
    <n v="350"/>
    <n v="80"/>
    <n v="300"/>
    <n v="3950"/>
    <n v="18683500"/>
    <n v="4730"/>
  </r>
  <r>
    <x v="24"/>
    <x v="389"/>
    <x v="448"/>
    <x v="42"/>
    <x v="0"/>
    <n v="2"/>
    <n v="2800"/>
    <n v="52.4"/>
    <n v="600"/>
    <n v="80"/>
    <n v="400"/>
    <n v="4.0999999999999996"/>
    <n v="15907.999999999998"/>
    <n v="3880"/>
  </r>
  <r>
    <x v="47"/>
    <x v="390"/>
    <x v="449"/>
    <x v="1"/>
    <x v="0"/>
    <n v="2"/>
    <n v="2200"/>
    <n v="43.8"/>
    <n v="400"/>
    <n v="120"/>
    <n v="350"/>
    <n v="4.6500000000000004"/>
    <n v="14275.500000000002"/>
    <n v="3070"/>
  </r>
  <r>
    <x v="48"/>
    <x v="391"/>
    <x v="450"/>
    <x v="44"/>
    <x v="0"/>
    <n v="2"/>
    <n v="400"/>
    <n v="79.5"/>
    <n v="1200"/>
    <n v="100"/>
    <n v="800"/>
    <n v="0.92"/>
    <n v="2300"/>
    <n v="2500"/>
  </r>
  <r>
    <x v="40"/>
    <x v="392"/>
    <x v="451"/>
    <x v="12"/>
    <x v="2"/>
    <n v="4"/>
    <n v="4500"/>
    <n v="42.4"/>
    <n v="300"/>
    <n v="150"/>
    <n v="250"/>
    <n v="15600"/>
    <n v="81120000"/>
    <n v="5200"/>
  </r>
  <r>
    <x v="45"/>
    <x v="383"/>
    <x v="452"/>
    <x v="30"/>
    <x v="0"/>
    <n v="2"/>
    <n v="0"/>
    <n v="84.5"/>
    <n v="1150"/>
    <n v="140"/>
    <n v="900"/>
    <n v="137.5"/>
    <n v="301125"/>
    <n v="2190"/>
  </r>
  <r>
    <x v="46"/>
    <x v="393"/>
    <x v="453"/>
    <x v="41"/>
    <x v="1"/>
    <n v="4"/>
    <n v="3200"/>
    <n v="36.799999999999997"/>
    <n v="300"/>
    <n v="80"/>
    <n v="300"/>
    <n v="3950"/>
    <n v="15326000"/>
    <n v="3880"/>
  </r>
  <r>
    <x v="24"/>
    <x v="394"/>
    <x v="454"/>
    <x v="6"/>
    <x v="0"/>
    <n v="2"/>
    <n v="2600"/>
    <n v="50.5"/>
    <n v="550"/>
    <n v="80"/>
    <n v="400"/>
    <n v="4.0999999999999996"/>
    <n v="14882.999999999998"/>
    <n v="3630"/>
  </r>
  <r>
    <x v="47"/>
    <x v="395"/>
    <x v="455"/>
    <x v="39"/>
    <x v="2"/>
    <n v="4"/>
    <n v="2400"/>
    <n v="42.5"/>
    <n v="380"/>
    <n v="120"/>
    <n v="350"/>
    <n v="4.6500000000000004"/>
    <n v="15112.500000000002"/>
    <n v="3250"/>
  </r>
  <r>
    <x v="48"/>
    <x v="396"/>
    <x v="456"/>
    <x v="0"/>
    <x v="1"/>
    <n v="3"/>
    <n v="400"/>
    <n v="78.400000000000006"/>
    <n v="1100"/>
    <n v="100"/>
    <n v="800"/>
    <n v="0.92"/>
    <n v="2208"/>
    <n v="2400"/>
  </r>
  <r>
    <x v="40"/>
    <x v="397"/>
    <x v="457"/>
    <x v="1"/>
    <x v="0"/>
    <n v="2"/>
    <n v="4000"/>
    <n v="40.200000000000003"/>
    <n v="250"/>
    <n v="150"/>
    <n v="250"/>
    <n v="15600"/>
    <n v="72540000"/>
    <n v="4650"/>
  </r>
  <r>
    <x v="45"/>
    <x v="398"/>
    <x v="458"/>
    <x v="89"/>
    <x v="0"/>
    <n v="2"/>
    <n v="0"/>
    <n v="82.1"/>
    <n v="1000"/>
    <n v="140"/>
    <n v="900"/>
    <n v="137.5"/>
    <n v="280500"/>
    <n v="2040"/>
  </r>
  <r>
    <x v="46"/>
    <x v="399"/>
    <x v="459"/>
    <x v="12"/>
    <x v="0"/>
    <n v="2"/>
    <n v="3800"/>
    <n v="35.4"/>
    <n v="280"/>
    <n v="80"/>
    <n v="300"/>
    <n v="3950"/>
    <n v="17617000"/>
    <n v="4460"/>
  </r>
  <r>
    <x v="24"/>
    <x v="400"/>
    <x v="460"/>
    <x v="0"/>
    <x v="2"/>
    <n v="4"/>
    <n v="2700"/>
    <n v="51.2"/>
    <n v="580"/>
    <n v="80"/>
    <n v="400"/>
    <n v="4.0999999999999996"/>
    <n v="15415.999999999998"/>
    <n v="3760"/>
  </r>
  <r>
    <x v="47"/>
    <x v="401"/>
    <x v="461"/>
    <x v="40"/>
    <x v="0"/>
    <n v="2"/>
    <n v="2100"/>
    <n v="41.8"/>
    <n v="350"/>
    <n v="120"/>
    <n v="350"/>
    <n v="4.6500000000000004"/>
    <n v="13578.000000000002"/>
    <n v="2920"/>
  </r>
  <r>
    <x v="48"/>
    <x v="402"/>
    <x v="462"/>
    <x v="14"/>
    <x v="0"/>
    <n v="2"/>
    <n v="400"/>
    <n v="81.5"/>
    <n v="1300"/>
    <n v="100"/>
    <n v="800"/>
    <n v="0.92"/>
    <n v="2392"/>
    <n v="2600"/>
  </r>
  <r>
    <x v="40"/>
    <x v="403"/>
    <x v="463"/>
    <x v="39"/>
    <x v="1"/>
    <n v="4"/>
    <n v="3800"/>
    <n v="41.5"/>
    <n v="280"/>
    <n v="150"/>
    <n v="250"/>
    <n v="15600"/>
    <n v="69888000"/>
    <n v="4480"/>
  </r>
  <r>
    <x v="45"/>
    <x v="404"/>
    <x v="464"/>
    <x v="90"/>
    <x v="1"/>
    <n v="3"/>
    <n v="0"/>
    <n v="81.2"/>
    <n v="950"/>
    <n v="140"/>
    <n v="900"/>
    <n v="137.5"/>
    <n v="273625"/>
    <n v="1990"/>
  </r>
  <r>
    <x v="46"/>
    <x v="405"/>
    <x v="465"/>
    <x v="1"/>
    <x v="2"/>
    <n v="4"/>
    <n v="3500"/>
    <n v="34.799999999999997"/>
    <n v="260"/>
    <n v="80"/>
    <n v="300"/>
    <n v="3950"/>
    <n v="16353000"/>
    <n v="4140"/>
  </r>
  <r>
    <x v="24"/>
    <x v="406"/>
    <x v="466"/>
    <x v="48"/>
    <x v="0"/>
    <n v="2"/>
    <n v="2500"/>
    <n v="49.8"/>
    <n v="520"/>
    <n v="80"/>
    <n v="400"/>
    <n v="4.0999999999999996"/>
    <n v="14349.999999999998"/>
    <n v="3500"/>
  </r>
  <r>
    <x v="47"/>
    <x v="407"/>
    <x v="467"/>
    <x v="12"/>
    <x v="1"/>
    <n v="4"/>
    <n v="2000"/>
    <n v="40.5"/>
    <n v="330"/>
    <n v="120"/>
    <n v="350"/>
    <n v="4.6500000000000004"/>
    <n v="13020.000000000002"/>
    <n v="2800"/>
  </r>
  <r>
    <x v="48"/>
    <x v="408"/>
    <x v="468"/>
    <x v="41"/>
    <x v="0"/>
    <n v="2"/>
    <n v="400"/>
    <n v="77.8"/>
    <n v="1150"/>
    <n v="100"/>
    <n v="800"/>
    <n v="0.92"/>
    <n v="2254"/>
    <n v="2450"/>
  </r>
  <r>
    <x v="40"/>
    <x v="409"/>
    <x v="469"/>
    <x v="6"/>
    <x v="0"/>
    <n v="2"/>
    <n v="3500"/>
    <n v="39.799999999999997"/>
    <n v="240"/>
    <n v="150"/>
    <n v="250"/>
    <n v="15600"/>
    <n v="64584000"/>
    <n v="4140"/>
  </r>
  <r>
    <x v="24"/>
    <x v="410"/>
    <x v="470"/>
    <x v="39"/>
    <x v="0"/>
    <n v="2"/>
    <n v="2400"/>
    <n v="48.5"/>
    <n v="500"/>
    <n v="80"/>
    <n v="400"/>
    <n v="4.0999999999999996"/>
    <n v="13857.999999999998"/>
    <n v="3380"/>
  </r>
  <r>
    <x v="47"/>
    <x v="411"/>
    <x v="471"/>
    <x v="14"/>
    <x v="0"/>
    <n v="2"/>
    <n v="1900"/>
    <n v="39.799999999999997"/>
    <n v="320"/>
    <n v="120"/>
    <n v="350"/>
    <n v="4.6500000000000004"/>
    <n v="12508.500000000002"/>
    <n v="2690"/>
  </r>
  <r>
    <x v="48"/>
    <x v="412"/>
    <x v="472"/>
    <x v="61"/>
    <x v="1"/>
    <n v="3"/>
    <n v="400"/>
    <n v="76.5"/>
    <n v="1100"/>
    <n v="100"/>
    <n v="800"/>
    <n v="0.92"/>
    <n v="2208"/>
    <n v="2400"/>
  </r>
  <r>
    <x v="40"/>
    <x v="413"/>
    <x v="473"/>
    <x v="0"/>
    <x v="2"/>
    <n v="4"/>
    <n v="3200"/>
    <n v="38.5"/>
    <n v="220"/>
    <n v="150"/>
    <n v="250"/>
    <n v="15600"/>
    <n v="59592000"/>
    <n v="3820"/>
  </r>
  <r>
    <x v="45"/>
    <x v="414"/>
    <x v="474"/>
    <x v="91"/>
    <x v="0"/>
    <n v="2"/>
    <n v="0"/>
    <n v="79.8"/>
    <n v="900"/>
    <n v="140"/>
    <n v="900"/>
    <n v="137.5"/>
    <n v="266750"/>
    <n v="1940"/>
  </r>
  <r>
    <x v="46"/>
    <x v="415"/>
    <x v="475"/>
    <x v="40"/>
    <x v="0"/>
    <n v="2"/>
    <n v="3300"/>
    <n v="35.200000000000003"/>
    <n v="290"/>
    <n v="80"/>
    <n v="300"/>
    <n v="3950"/>
    <n v="15681500"/>
    <n v="3970"/>
  </r>
  <r>
    <x v="24"/>
    <x v="416"/>
    <x v="476"/>
    <x v="12"/>
    <x v="1"/>
    <n v="3"/>
    <n v="2300"/>
    <n v="47.8"/>
    <n v="480"/>
    <n v="80"/>
    <n v="400"/>
    <n v="4.0999999999999996"/>
    <n v="13365.999999999998"/>
    <n v="3260"/>
  </r>
  <r>
    <x v="47"/>
    <x v="417"/>
    <x v="477"/>
    <x v="42"/>
    <x v="2"/>
    <n v="4"/>
    <n v="2200"/>
    <n v="38.9"/>
    <n v="300"/>
    <n v="120"/>
    <n v="350"/>
    <n v="4.6500000000000004"/>
    <n v="13810.500000000002"/>
    <n v="2970"/>
  </r>
  <r>
    <x v="48"/>
    <x v="418"/>
    <x v="478"/>
    <x v="2"/>
    <x v="0"/>
    <n v="2"/>
    <n v="400"/>
    <n v="75.400000000000006"/>
    <n v="1050"/>
    <n v="100"/>
    <n v="800"/>
    <n v="0.92"/>
    <n v="2162"/>
    <n v="2350"/>
  </r>
  <r>
    <x v="40"/>
    <x v="419"/>
    <x v="479"/>
    <x v="41"/>
    <x v="0"/>
    <n v="2"/>
    <n v="3000"/>
    <n v="37.9"/>
    <n v="200"/>
    <n v="150"/>
    <n v="250"/>
    <n v="15600"/>
    <n v="56160000"/>
    <n v="3600"/>
  </r>
  <r>
    <x v="49"/>
    <x v="420"/>
    <x v="480"/>
    <x v="0"/>
    <x v="0"/>
    <n v="2"/>
    <n v="1500"/>
    <n v="35.799999999999997"/>
    <n v="250"/>
    <n v="60"/>
    <n v="200"/>
    <n v="3.15"/>
    <n v="6331.5"/>
    <n v="2010"/>
  </r>
  <r>
    <x v="50"/>
    <x v="421"/>
    <x v="481"/>
    <x v="1"/>
    <x v="0"/>
    <n v="2"/>
    <n v="8000"/>
    <n v="65.400000000000006"/>
    <n v="600"/>
    <n v="100"/>
    <n v="500"/>
    <n v="0.92"/>
    <n v="8464"/>
    <n v="9200"/>
  </r>
  <r>
    <x v="51"/>
    <x v="422"/>
    <x v="482"/>
    <x v="39"/>
    <x v="2"/>
    <n v="4"/>
    <n v="4000"/>
    <n v="58.9"/>
    <n v="450"/>
    <n v="80"/>
    <n v="400"/>
    <n v="7.35"/>
    <n v="36235.5"/>
    <n v="4930"/>
  </r>
  <r>
    <x v="52"/>
    <x v="423"/>
    <x v="483"/>
    <x v="12"/>
    <x v="1"/>
    <n v="4"/>
    <n v="6000"/>
    <n v="42.5"/>
    <n v="350"/>
    <n v="100"/>
    <n v="300"/>
    <n v="56.8"/>
    <n v="383400"/>
    <n v="6750"/>
  </r>
  <r>
    <x v="53"/>
    <x v="424"/>
    <x v="484"/>
    <x v="40"/>
    <x v="0"/>
    <n v="2"/>
    <n v="2000"/>
    <n v="41.2"/>
    <n v="300"/>
    <n v="70"/>
    <n v="250"/>
    <n v="10.15"/>
    <n v="26593"/>
    <n v="2620"/>
  </r>
  <r>
    <x v="54"/>
    <x v="425"/>
    <x v="485"/>
    <x v="14"/>
    <x v="0"/>
    <n v="2"/>
    <n v="8500"/>
    <n v="44.8"/>
    <n v="400"/>
    <n v="120"/>
    <n v="350"/>
    <n v="3.75"/>
    <n v="35137.5"/>
    <n v="9370"/>
  </r>
  <r>
    <x v="39"/>
    <x v="131"/>
    <x v="136"/>
    <x v="0"/>
    <x v="2"/>
    <n v="4"/>
    <n v="0"/>
    <n v="42.5"/>
    <n v="350"/>
    <n v="90"/>
    <n v="280"/>
    <n v="275"/>
    <n v="198000"/>
    <n v="720"/>
  </r>
  <r>
    <x v="49"/>
    <x v="426"/>
    <x v="486"/>
    <x v="6"/>
    <x v="0"/>
    <n v="2"/>
    <n v="1400"/>
    <n v="33.200000000000003"/>
    <n v="200"/>
    <n v="60"/>
    <n v="200"/>
    <n v="3.15"/>
    <n v="5859"/>
    <n v="1860"/>
  </r>
  <r>
    <x v="50"/>
    <x v="427"/>
    <x v="487"/>
    <x v="42"/>
    <x v="1"/>
    <n v="4"/>
    <n v="7500"/>
    <n v="62.8"/>
    <n v="550"/>
    <n v="100"/>
    <n v="500"/>
    <n v="0.92"/>
    <n v="7958"/>
    <n v="8650"/>
  </r>
  <r>
    <x v="51"/>
    <x v="428"/>
    <x v="488"/>
    <x v="44"/>
    <x v="0"/>
    <n v="2"/>
    <n v="3800"/>
    <n v="56.4"/>
    <n v="400"/>
    <n v="80"/>
    <n v="400"/>
    <n v="7.35"/>
    <n v="34398"/>
    <n v="4680"/>
  </r>
  <r>
    <x v="52"/>
    <x v="429"/>
    <x v="489"/>
    <x v="41"/>
    <x v="0"/>
    <n v="2"/>
    <n v="5500"/>
    <n v="40.200000000000003"/>
    <n v="300"/>
    <n v="100"/>
    <n v="300"/>
    <n v="56.8"/>
    <n v="352160"/>
    <n v="6200"/>
  </r>
  <r>
    <x v="53"/>
    <x v="430"/>
    <x v="490"/>
    <x v="12"/>
    <x v="2"/>
    <n v="4"/>
    <n v="2200"/>
    <n v="43.5"/>
    <n v="350"/>
    <n v="70"/>
    <n v="250"/>
    <n v="10.15"/>
    <n v="29130.5"/>
    <n v="2870"/>
  </r>
  <r>
    <x v="54"/>
    <x v="431"/>
    <x v="491"/>
    <x v="39"/>
    <x v="1"/>
    <n v="4"/>
    <n v="7000"/>
    <n v="41.2"/>
    <n v="300"/>
    <n v="120"/>
    <n v="350"/>
    <n v="3.75"/>
    <n v="29137.5"/>
    <n v="7770"/>
  </r>
  <r>
    <x v="39"/>
    <x v="432"/>
    <x v="492"/>
    <x v="1"/>
    <x v="0"/>
    <n v="2"/>
    <n v="0"/>
    <n v="39.799999999999997"/>
    <n v="280"/>
    <n v="90"/>
    <n v="280"/>
    <n v="275"/>
    <n v="178750"/>
    <n v="650"/>
  </r>
  <r>
    <x v="49"/>
    <x v="433"/>
    <x v="493"/>
    <x v="64"/>
    <x v="1"/>
    <n v="3"/>
    <n v="1300"/>
    <n v="32.5"/>
    <n v="180"/>
    <n v="60"/>
    <n v="200"/>
    <n v="3.15"/>
    <n v="5481"/>
    <n v="1740"/>
  </r>
  <r>
    <x v="50"/>
    <x v="434"/>
    <x v="494"/>
    <x v="6"/>
    <x v="2"/>
    <n v="4"/>
    <n v="8200"/>
    <n v="61.5"/>
    <n v="500"/>
    <n v="100"/>
    <n v="500"/>
    <n v="0.92"/>
    <n v="8556"/>
    <n v="9300"/>
  </r>
  <r>
    <x v="51"/>
    <x v="435"/>
    <x v="495"/>
    <x v="40"/>
    <x v="0"/>
    <n v="2"/>
    <n v="3500"/>
    <n v="54.8"/>
    <n v="380"/>
    <n v="80"/>
    <n v="400"/>
    <n v="7.35"/>
    <n v="32046"/>
    <n v="4360"/>
  </r>
  <r>
    <x v="52"/>
    <x v="436"/>
    <x v="496"/>
    <x v="0"/>
    <x v="1"/>
    <n v="4"/>
    <n v="5000"/>
    <n v="38.5"/>
    <n v="280"/>
    <n v="100"/>
    <n v="300"/>
    <n v="56.8"/>
    <n v="322624"/>
    <n v="5680"/>
  </r>
  <r>
    <x v="53"/>
    <x v="437"/>
    <x v="497"/>
    <x v="14"/>
    <x v="0"/>
    <n v="2"/>
    <n v="1800"/>
    <n v="39.799999999999997"/>
    <n v="250"/>
    <n v="70"/>
    <n v="250"/>
    <n v="10.15"/>
    <n v="24055.5"/>
    <n v="2370"/>
  </r>
  <r>
    <x v="54"/>
    <x v="438"/>
    <x v="498"/>
    <x v="42"/>
    <x v="2"/>
    <n v="4"/>
    <n v="7500"/>
    <n v="40.5"/>
    <n v="280"/>
    <n v="120"/>
    <n v="350"/>
    <n v="3.75"/>
    <n v="30937.5"/>
    <n v="8250"/>
  </r>
  <r>
    <x v="39"/>
    <x v="439"/>
    <x v="499"/>
    <x v="12"/>
    <x v="0"/>
    <n v="2"/>
    <n v="0"/>
    <n v="38.5"/>
    <n v="260"/>
    <n v="90"/>
    <n v="280"/>
    <n v="275"/>
    <n v="173250"/>
    <n v="630"/>
  </r>
  <r>
    <x v="49"/>
    <x v="440"/>
    <x v="500"/>
    <x v="1"/>
    <x v="2"/>
    <n v="4"/>
    <n v="1600"/>
    <n v="31.8"/>
    <n v="170"/>
    <n v="60"/>
    <n v="200"/>
    <n v="3.15"/>
    <n v="6394.5"/>
    <n v="2030"/>
  </r>
  <r>
    <x v="50"/>
    <x v="441"/>
    <x v="501"/>
    <x v="39"/>
    <x v="0"/>
    <n v="2"/>
    <n v="7800"/>
    <n v="59.8"/>
    <n v="480"/>
    <n v="100"/>
    <n v="500"/>
    <n v="0.92"/>
    <n v="8169.6"/>
    <n v="8880"/>
  </r>
  <r>
    <x v="51"/>
    <x v="442"/>
    <x v="502"/>
    <x v="0"/>
    <x v="1"/>
    <n v="3"/>
    <n v="3200"/>
    <n v="52.5"/>
    <n v="350"/>
    <n v="80"/>
    <n v="400"/>
    <n v="7.35"/>
    <n v="29620.5"/>
    <n v="4030"/>
  </r>
  <r>
    <x v="52"/>
    <x v="443"/>
    <x v="503"/>
    <x v="40"/>
    <x v="0"/>
    <n v="2"/>
    <n v="4800"/>
    <n v="37.200000000000003"/>
    <n v="260"/>
    <n v="100"/>
    <n v="300"/>
    <n v="56.8"/>
    <n v="310128"/>
    <n v="5460"/>
  </r>
  <r>
    <x v="53"/>
    <x v="444"/>
    <x v="504"/>
    <x v="6"/>
    <x v="2"/>
    <n v="4"/>
    <n v="2100"/>
    <n v="40.5"/>
    <n v="280"/>
    <n v="70"/>
    <n v="250"/>
    <n v="10.15"/>
    <n v="27405"/>
    <n v="2700"/>
  </r>
  <r>
    <x v="54"/>
    <x v="445"/>
    <x v="505"/>
    <x v="14"/>
    <x v="0"/>
    <n v="2"/>
    <n v="6800"/>
    <n v="39.799999999999997"/>
    <n v="260"/>
    <n v="120"/>
    <n v="350"/>
    <n v="3.75"/>
    <n v="28237.5"/>
    <n v="7530"/>
  </r>
  <r>
    <x v="39"/>
    <x v="446"/>
    <x v="506"/>
    <x v="42"/>
    <x v="1"/>
    <n v="4"/>
    <n v="0"/>
    <n v="37.5"/>
    <n v="240"/>
    <n v="90"/>
    <n v="280"/>
    <n v="275"/>
    <n v="167750"/>
    <n v="610"/>
  </r>
  <r>
    <x v="49"/>
    <x v="447"/>
    <x v="507"/>
    <x v="12"/>
    <x v="0"/>
    <n v="2"/>
    <n v="1400"/>
    <n v="30.5"/>
    <n v="160"/>
    <n v="60"/>
    <n v="200"/>
    <n v="3.15"/>
    <n v="5733"/>
    <n v="1820"/>
  </r>
  <r>
    <x v="51"/>
    <x v="448"/>
    <x v="508"/>
    <x v="41"/>
    <x v="2"/>
    <n v="4"/>
    <n v="3600"/>
    <n v="53.2"/>
    <n v="370"/>
    <n v="80"/>
    <n v="400"/>
    <n v="7.35"/>
    <n v="32707.5"/>
    <n v="4450"/>
  </r>
  <r>
    <x v="50"/>
    <x v="449"/>
    <x v="509"/>
    <x v="1"/>
    <x v="1"/>
    <n v="3"/>
    <n v="7400"/>
    <n v="58.5"/>
    <n v="450"/>
    <n v="100"/>
    <n v="500"/>
    <n v="0.92"/>
    <n v="7774"/>
    <n v="8450"/>
  </r>
  <r>
    <x v="52"/>
    <x v="450"/>
    <x v="510"/>
    <x v="0"/>
    <x v="2"/>
    <n v="4"/>
    <n v="4500"/>
    <n v="36.799999999999997"/>
    <n v="250"/>
    <n v="100"/>
    <n v="300"/>
    <n v="56.8"/>
    <n v="292520"/>
    <n v="5150"/>
  </r>
  <r>
    <x v="53"/>
    <x v="451"/>
    <x v="511"/>
    <x v="39"/>
    <x v="0"/>
    <n v="2"/>
    <n v="1900"/>
    <n v="38.9"/>
    <n v="260"/>
    <n v="70"/>
    <n v="250"/>
    <n v="10.15"/>
    <n v="25172"/>
    <n v="2480"/>
  </r>
  <r>
    <x v="54"/>
    <x v="452"/>
    <x v="512"/>
    <x v="40"/>
    <x v="0"/>
    <n v="2"/>
    <n v="7200"/>
    <n v="38.5"/>
    <n v="250"/>
    <n v="120"/>
    <n v="350"/>
    <n v="3.75"/>
    <n v="29700"/>
    <n v="7920"/>
  </r>
  <r>
    <x v="39"/>
    <x v="453"/>
    <x v="513"/>
    <x v="14"/>
    <x v="2"/>
    <n v="4"/>
    <n v="0"/>
    <n v="36.799999999999997"/>
    <n v="230"/>
    <n v="90"/>
    <n v="280"/>
    <n v="275"/>
    <n v="165000"/>
    <n v="600"/>
  </r>
  <r>
    <x v="49"/>
    <x v="454"/>
    <x v="514"/>
    <x v="6"/>
    <x v="1"/>
    <n v="3"/>
    <n v="1200"/>
    <n v="29.8"/>
    <n v="150"/>
    <n v="60"/>
    <n v="200"/>
    <n v="3.15"/>
    <n v="5071.5"/>
    <n v="1610"/>
  </r>
  <r>
    <x v="50"/>
    <x v="455"/>
    <x v="515"/>
    <x v="12"/>
    <x v="0"/>
    <n v="2"/>
    <n v="7600"/>
    <n v="57.8"/>
    <n v="430"/>
    <n v="100"/>
    <n v="500"/>
    <n v="0.92"/>
    <n v="7939.6"/>
    <n v="8630"/>
  </r>
  <r>
    <x v="51"/>
    <x v="456"/>
    <x v="516"/>
    <x v="42"/>
    <x v="0"/>
    <n v="2"/>
    <n v="3400"/>
    <n v="54.5"/>
    <n v="390"/>
    <n v="80"/>
    <n v="400"/>
    <n v="7.35"/>
    <n v="31384.5"/>
    <n v="4270"/>
  </r>
  <r>
    <x v="53"/>
    <x v="457"/>
    <x v="517"/>
    <x v="0"/>
    <x v="1"/>
    <n v="4"/>
    <n v="1700"/>
    <n v="37.5"/>
    <n v="240"/>
    <n v="70"/>
    <n v="250"/>
    <n v="10.15"/>
    <n v="22939"/>
    <n v="2260"/>
  </r>
  <r>
    <x v="54"/>
    <x v="458"/>
    <x v="518"/>
    <x v="44"/>
    <x v="2"/>
    <n v="4"/>
    <n v="6500"/>
    <n v="37.799999999999997"/>
    <n v="240"/>
    <n v="120"/>
    <n v="350"/>
    <n v="3.75"/>
    <n v="27037.5"/>
    <n v="7210"/>
  </r>
  <r>
    <x v="55"/>
    <x v="459"/>
    <x v="519"/>
    <x v="0"/>
    <x v="0"/>
    <n v="2"/>
    <n v="8500"/>
    <n v="45.8"/>
    <n v="400"/>
    <n v="100"/>
    <n v="300"/>
    <n v="1"/>
    <n v="9300"/>
    <n v="9300"/>
  </r>
  <r>
    <x v="56"/>
    <x v="460"/>
    <x v="520"/>
    <x v="1"/>
    <x v="0"/>
    <n v="2"/>
    <n v="20000"/>
    <n v="58.9"/>
    <n v="600"/>
    <n v="150"/>
    <n v="500"/>
    <n v="15000"/>
    <n v="318750000"/>
    <n v="21250"/>
  </r>
  <r>
    <x v="57"/>
    <x v="461"/>
    <x v="521"/>
    <x v="39"/>
    <x v="1"/>
    <n v="4"/>
    <n v="7000"/>
    <n v="65.400000000000006"/>
    <n v="700"/>
    <n v="130"/>
    <n v="600"/>
    <n v="0.38"/>
    <n v="3203.4"/>
    <n v="8430"/>
  </r>
  <r>
    <x v="58"/>
    <x v="462"/>
    <x v="522"/>
    <x v="12"/>
    <x v="2"/>
    <n v="4"/>
    <n v="0"/>
    <n v="52.4"/>
    <n v="450"/>
    <n v="90"/>
    <n v="350"/>
    <n v="39.5"/>
    <n v="35155"/>
    <n v="890"/>
  </r>
  <r>
    <x v="59"/>
    <x v="463"/>
    <x v="523"/>
    <x v="40"/>
    <x v="0"/>
    <n v="2"/>
    <n v="3500"/>
    <n v="48.5"/>
    <n v="400"/>
    <n v="110"/>
    <n v="300"/>
    <n v="1.85"/>
    <n v="7973.5"/>
    <n v="4310"/>
  </r>
  <r>
    <x v="60"/>
    <x v="464"/>
    <x v="524"/>
    <x v="14"/>
    <x v="0"/>
    <n v="2"/>
    <n v="4500"/>
    <n v="42.1"/>
    <n v="300"/>
    <n v="120"/>
    <n v="250"/>
    <n v="12"/>
    <n v="62040"/>
    <n v="5170"/>
  </r>
  <r>
    <x v="61"/>
    <x v="465"/>
    <x v="525"/>
    <x v="0"/>
    <x v="1"/>
    <n v="3"/>
    <n v="1200"/>
    <n v="38.5"/>
    <n v="250"/>
    <n v="80"/>
    <n v="200"/>
    <n v="137.5"/>
    <n v="237875"/>
    <n v="1730"/>
  </r>
  <r>
    <x v="62"/>
    <x v="466"/>
    <x v="526"/>
    <x v="6"/>
    <x v="0"/>
    <n v="2"/>
    <n v="7500"/>
    <n v="51.2"/>
    <n v="600"/>
    <n v="100"/>
    <n v="400"/>
    <n v="1"/>
    <n v="8600"/>
    <n v="8600"/>
  </r>
  <r>
    <x v="55"/>
    <x v="467"/>
    <x v="527"/>
    <x v="42"/>
    <x v="2"/>
    <n v="4"/>
    <n v="7800"/>
    <n v="43.2"/>
    <n v="350"/>
    <n v="100"/>
    <n v="300"/>
    <n v="1"/>
    <n v="8550"/>
    <n v="8550"/>
  </r>
  <r>
    <x v="56"/>
    <x v="468"/>
    <x v="528"/>
    <x v="44"/>
    <x v="0"/>
    <n v="2"/>
    <n v="18000"/>
    <n v="55.4"/>
    <n v="500"/>
    <n v="150"/>
    <n v="500"/>
    <n v="15000"/>
    <n v="287250000"/>
    <n v="19150"/>
  </r>
  <r>
    <x v="57"/>
    <x v="469"/>
    <x v="529"/>
    <x v="41"/>
    <x v="0"/>
    <n v="2"/>
    <n v="8000"/>
    <n v="63.2"/>
    <n v="650"/>
    <n v="130"/>
    <n v="600"/>
    <n v="0.38"/>
    <n v="3564.4"/>
    <n v="9380"/>
  </r>
  <r>
    <x v="58"/>
    <x v="470"/>
    <x v="530"/>
    <x v="0"/>
    <x v="0"/>
    <n v="2"/>
    <n v="6500"/>
    <n v="48.5"/>
    <n v="380"/>
    <n v="90"/>
    <n v="350"/>
    <n v="39.5"/>
    <n v="289140"/>
    <n v="7320"/>
  </r>
  <r>
    <x v="59"/>
    <x v="471"/>
    <x v="531"/>
    <x v="1"/>
    <x v="1"/>
    <n v="3"/>
    <n v="3200"/>
    <n v="45.8"/>
    <n v="350"/>
    <n v="110"/>
    <n v="300"/>
    <n v="1.85"/>
    <n v="7326"/>
    <n v="3960"/>
  </r>
  <r>
    <x v="60"/>
    <x v="472"/>
    <x v="532"/>
    <x v="39"/>
    <x v="2"/>
    <n v="4"/>
    <n v="4200"/>
    <n v="39.799999999999997"/>
    <n v="250"/>
    <n v="120"/>
    <n v="250"/>
    <n v="12"/>
    <n v="57840"/>
    <n v="4820"/>
  </r>
  <r>
    <x v="61"/>
    <x v="473"/>
    <x v="533"/>
    <x v="12"/>
    <x v="0"/>
    <n v="2"/>
    <n v="1100"/>
    <n v="36.4"/>
    <n v="220"/>
    <n v="80"/>
    <n v="200"/>
    <n v="137.5"/>
    <n v="220000"/>
    <n v="1600"/>
  </r>
  <r>
    <x v="62"/>
    <x v="474"/>
    <x v="534"/>
    <x v="14"/>
    <x v="1"/>
    <n v="4"/>
    <n v="6800"/>
    <n v="47.5"/>
    <n v="450"/>
    <n v="100"/>
    <n v="400"/>
    <n v="1"/>
    <n v="7750"/>
    <n v="7750"/>
  </r>
  <r>
    <x v="55"/>
    <x v="475"/>
    <x v="535"/>
    <x v="40"/>
    <x v="0"/>
    <n v="2"/>
    <n v="7200"/>
    <n v="42.5"/>
    <n v="320"/>
    <n v="100"/>
    <n v="300"/>
    <n v="1"/>
    <n v="7920"/>
    <n v="7920"/>
  </r>
  <r>
    <x v="56"/>
    <x v="476"/>
    <x v="536"/>
    <x v="0"/>
    <x v="2"/>
    <n v="4"/>
    <n v="2000"/>
    <n v="52.1"/>
    <n v="400"/>
    <n v="150"/>
    <n v="500"/>
    <n v="15000"/>
    <n v="45750000"/>
    <n v="3050"/>
  </r>
  <r>
    <x v="57"/>
    <x v="477"/>
    <x v="537"/>
    <x v="42"/>
    <x v="1"/>
    <n v="4"/>
    <n v="6500"/>
    <n v="61.8"/>
    <n v="600"/>
    <n v="130"/>
    <n v="600"/>
    <n v="0.38"/>
    <n v="2975.4"/>
    <n v="7830"/>
  </r>
  <r>
    <x v="58"/>
    <x v="478"/>
    <x v="538"/>
    <x v="1"/>
    <x v="0"/>
    <n v="2"/>
    <n v="7000"/>
    <n v="49.2"/>
    <n v="400"/>
    <n v="90"/>
    <n v="350"/>
    <n v="39.5"/>
    <n v="309680"/>
    <n v="7840"/>
  </r>
  <r>
    <x v="59"/>
    <x v="479"/>
    <x v="539"/>
    <x v="12"/>
    <x v="0"/>
    <n v="2"/>
    <n v="3100"/>
    <n v="44.2"/>
    <n v="330"/>
    <n v="110"/>
    <n v="300"/>
    <n v="1.85"/>
    <n v="7104"/>
    <n v="3840"/>
  </r>
  <r>
    <x v="60"/>
    <x v="480"/>
    <x v="540"/>
    <x v="41"/>
    <x v="0"/>
    <n v="2"/>
    <n v="4000"/>
    <n v="38.5"/>
    <n v="230"/>
    <n v="120"/>
    <n v="250"/>
    <n v="12"/>
    <n v="55200"/>
    <n v="4600"/>
  </r>
  <r>
    <x v="61"/>
    <x v="481"/>
    <x v="541"/>
    <x v="14"/>
    <x v="2"/>
    <n v="4"/>
    <n v="1300"/>
    <n v="35.799999999999997"/>
    <n v="200"/>
    <n v="80"/>
    <n v="200"/>
    <n v="137.5"/>
    <n v="244750"/>
    <n v="1780"/>
  </r>
  <r>
    <x v="62"/>
    <x v="429"/>
    <x v="542"/>
    <x v="0"/>
    <x v="0"/>
    <n v="2"/>
    <n v="6500"/>
    <n v="45.8"/>
    <n v="400"/>
    <n v="100"/>
    <n v="400"/>
    <n v="1"/>
    <n v="7400"/>
    <n v="7400"/>
  </r>
  <r>
    <x v="55"/>
    <x v="482"/>
    <x v="543"/>
    <x v="6"/>
    <x v="1"/>
    <n v="3"/>
    <n v="6800"/>
    <n v="41.2"/>
    <n v="300"/>
    <n v="100"/>
    <n v="300"/>
    <n v="1"/>
    <n v="7500"/>
    <n v="7500"/>
  </r>
  <r>
    <x v="56"/>
    <x v="483"/>
    <x v="544"/>
    <x v="39"/>
    <x v="0"/>
    <n v="2"/>
    <n v="16000"/>
    <n v="54.5"/>
    <n v="450"/>
    <n v="150"/>
    <n v="500"/>
    <n v="15000"/>
    <n v="256500000"/>
    <n v="17100"/>
  </r>
  <r>
    <x v="57"/>
    <x v="484"/>
    <x v="545"/>
    <x v="1"/>
    <x v="2"/>
    <n v="4"/>
    <n v="9000"/>
    <n v="62.4"/>
    <n v="620"/>
    <n v="130"/>
    <n v="600"/>
    <n v="0.38"/>
    <n v="3933"/>
    <n v="10350"/>
  </r>
  <r>
    <x v="58"/>
    <x v="485"/>
    <x v="546"/>
    <x v="40"/>
    <x v="1"/>
    <n v="4"/>
    <n v="0"/>
    <n v="47.8"/>
    <n v="350"/>
    <n v="90"/>
    <n v="350"/>
    <n v="39.5"/>
    <n v="31205"/>
    <n v="790"/>
  </r>
  <r>
    <x v="59"/>
    <x v="486"/>
    <x v="547"/>
    <x v="0"/>
    <x v="0"/>
    <n v="2"/>
    <n v="2900"/>
    <n v="43.5"/>
    <n v="320"/>
    <n v="110"/>
    <n v="300"/>
    <n v="1.85"/>
    <n v="6715.5"/>
    <n v="3630"/>
  </r>
  <r>
    <x v="60"/>
    <x v="487"/>
    <x v="548"/>
    <x v="42"/>
    <x v="2"/>
    <n v="4"/>
    <n v="3800"/>
    <n v="36.799999999999997"/>
    <n v="200"/>
    <n v="120"/>
    <n v="250"/>
    <n v="12"/>
    <n v="52440"/>
    <n v="4370"/>
  </r>
  <r>
    <x v="61"/>
    <x v="488"/>
    <x v="549"/>
    <x v="12"/>
    <x v="0"/>
    <n v="2"/>
    <n v="1000"/>
    <n v="34.5"/>
    <n v="180"/>
    <n v="80"/>
    <n v="200"/>
    <n v="137.5"/>
    <n v="200750"/>
    <n v="1460"/>
  </r>
  <r>
    <x v="62"/>
    <x v="489"/>
    <x v="550"/>
    <x v="14"/>
    <x v="1"/>
    <n v="3"/>
    <n v="6200"/>
    <n v="44.2"/>
    <n v="380"/>
    <n v="100"/>
    <n v="400"/>
    <n v="1"/>
    <n v="7080"/>
    <n v="7080"/>
  </r>
  <r>
    <x v="55"/>
    <x v="490"/>
    <x v="551"/>
    <x v="41"/>
    <x v="2"/>
    <n v="4"/>
    <n v="6500"/>
    <n v="40.5"/>
    <n v="280"/>
    <n v="100"/>
    <n v="300"/>
    <n v="1"/>
    <n v="7180"/>
    <n v="7180"/>
  </r>
  <r>
    <x v="56"/>
    <x v="491"/>
    <x v="552"/>
    <x v="0"/>
    <x v="1"/>
    <n v="4"/>
    <n v="15000"/>
    <n v="51.8"/>
    <n v="420"/>
    <n v="150"/>
    <n v="500"/>
    <n v="15000"/>
    <n v="241050000"/>
    <n v="16070"/>
  </r>
  <r>
    <x v="57"/>
    <x v="492"/>
    <x v="553"/>
    <x v="44"/>
    <x v="0"/>
    <n v="2"/>
    <n v="7500"/>
    <n v="61.5"/>
    <n v="580"/>
    <n v="130"/>
    <n v="600"/>
    <n v="0.38"/>
    <n v="3347.8"/>
    <n v="8810"/>
  </r>
  <r>
    <x v="58"/>
    <x v="493"/>
    <x v="554"/>
    <x v="39"/>
    <x v="0"/>
    <n v="2"/>
    <n v="0"/>
    <n v="46.5"/>
    <n v="330"/>
    <n v="90"/>
    <n v="350"/>
    <n v="39.5"/>
    <n v="30415"/>
    <n v="770"/>
  </r>
  <r>
    <x v="59"/>
    <x v="494"/>
    <x v="555"/>
    <x v="6"/>
    <x v="2"/>
    <n v="4"/>
    <n v="3300"/>
    <n v="42.8"/>
    <n v="300"/>
    <n v="110"/>
    <n v="300"/>
    <n v="1.85"/>
    <n v="7418.5"/>
    <n v="4010"/>
  </r>
  <r>
    <x v="60"/>
    <x v="495"/>
    <x v="556"/>
    <x v="1"/>
    <x v="0"/>
    <n v="2"/>
    <n v="3500"/>
    <n v="35.4"/>
    <n v="180"/>
    <n v="120"/>
    <n v="250"/>
    <n v="12"/>
    <n v="48600"/>
    <n v="4050"/>
  </r>
  <r>
    <x v="61"/>
    <x v="496"/>
    <x v="557"/>
    <x v="40"/>
    <x v="1"/>
    <n v="3"/>
    <n v="900"/>
    <n v="33.200000000000003"/>
    <n v="160"/>
    <n v="80"/>
    <n v="200"/>
    <n v="137.5"/>
    <n v="184250"/>
    <n v="1340"/>
  </r>
  <r>
    <x v="62"/>
    <x v="497"/>
    <x v="558"/>
    <x v="0"/>
    <x v="0"/>
    <n v="2"/>
    <n v="6000"/>
    <n v="43.5"/>
    <n v="350"/>
    <n v="100"/>
    <n v="400"/>
    <n v="1"/>
    <n v="6850"/>
    <n v="6850"/>
  </r>
  <r>
    <x v="63"/>
    <x v="498"/>
    <x v="559"/>
    <x v="0"/>
    <x v="0"/>
    <n v="2"/>
    <n v="2500"/>
    <n v="42.5"/>
    <n v="250"/>
    <n v="100"/>
    <n v="200"/>
    <n v="109.5"/>
    <n v="333975"/>
    <n v="3050"/>
  </r>
  <r>
    <x v="64"/>
    <x v="499"/>
    <x v="560"/>
    <x v="1"/>
    <x v="0"/>
    <n v="2"/>
    <n v="3500"/>
    <n v="71.2"/>
    <n v="800"/>
    <n v="140"/>
    <n v="700"/>
    <n v="0.31"/>
    <n v="1593.4"/>
    <n v="5140"/>
  </r>
  <r>
    <x v="65"/>
    <x v="500"/>
    <x v="561"/>
    <x v="39"/>
    <x v="1"/>
    <n v="4"/>
    <n v="3800"/>
    <n v="45.8"/>
    <n v="400"/>
    <n v="120"/>
    <n v="300"/>
    <n v="36.799999999999997"/>
    <n v="170016"/>
    <n v="4620"/>
  </r>
  <r>
    <x v="66"/>
    <x v="501"/>
    <x v="562"/>
    <x v="12"/>
    <x v="2"/>
    <n v="4"/>
    <n v="4500"/>
    <n v="62.4"/>
    <n v="500"/>
    <n v="80"/>
    <n v="450"/>
    <n v="0.92"/>
    <n v="5087.6000000000004"/>
    <n v="5530"/>
  </r>
  <r>
    <x v="67"/>
    <x v="502"/>
    <x v="563"/>
    <x v="40"/>
    <x v="0"/>
    <n v="2"/>
    <n v="2800"/>
    <n v="48.5"/>
    <n v="350"/>
    <n v="90"/>
    <n v="320"/>
    <n v="108.5"/>
    <n v="386260"/>
    <n v="3560"/>
  </r>
  <r>
    <x v="68"/>
    <x v="503"/>
    <x v="564"/>
    <x v="14"/>
    <x v="0"/>
    <n v="2"/>
    <n v="3000"/>
    <n v="51.2"/>
    <n v="400"/>
    <n v="150"/>
    <n v="280"/>
    <n v="42150"/>
    <n v="161434500"/>
    <n v="3830"/>
  </r>
  <r>
    <x v="69"/>
    <x v="504"/>
    <x v="565"/>
    <x v="0"/>
    <x v="1"/>
    <n v="4"/>
    <n v="4200"/>
    <n v="44.5"/>
    <n v="300"/>
    <n v="160"/>
    <n v="250"/>
    <n v="12300"/>
    <n v="60393000"/>
    <n v="4910"/>
  </r>
  <r>
    <x v="70"/>
    <x v="505"/>
    <x v="566"/>
    <x v="42"/>
    <x v="0"/>
    <n v="2"/>
    <n v="5500"/>
    <n v="46.8"/>
    <n v="400"/>
    <n v="110"/>
    <n v="300"/>
    <n v="1"/>
    <n v="6310"/>
    <n v="6310"/>
  </r>
  <r>
    <x v="63"/>
    <x v="506"/>
    <x v="567"/>
    <x v="6"/>
    <x v="2"/>
    <n v="4"/>
    <n v="2200"/>
    <n v="39.799999999999997"/>
    <n v="200"/>
    <n v="100"/>
    <n v="200"/>
    <n v="109.5"/>
    <n v="295650"/>
    <n v="2700"/>
  </r>
  <r>
    <x v="64"/>
    <x v="507"/>
    <x v="568"/>
    <x v="44"/>
    <x v="0"/>
    <n v="2"/>
    <n v="15000"/>
    <n v="68.5"/>
    <n v="750"/>
    <n v="140"/>
    <n v="700"/>
    <n v="0.31"/>
    <n v="5142.8999999999996"/>
    <n v="16590"/>
  </r>
  <r>
    <x v="65"/>
    <x v="508"/>
    <x v="569"/>
    <x v="0"/>
    <x v="0"/>
    <n v="2"/>
    <n v="3500"/>
    <n v="43.2"/>
    <n v="350"/>
    <n v="120"/>
    <n v="300"/>
    <n v="36.799999999999997"/>
    <n v="157136"/>
    <n v="4270"/>
  </r>
  <r>
    <x v="66"/>
    <x v="509"/>
    <x v="570"/>
    <x v="1"/>
    <x v="0"/>
    <n v="2"/>
    <n v="4200"/>
    <n v="58.5"/>
    <n v="450"/>
    <n v="80"/>
    <n v="450"/>
    <n v="0.92"/>
    <n v="4765.6000000000004"/>
    <n v="5180"/>
  </r>
  <r>
    <x v="67"/>
    <x v="510"/>
    <x v="571"/>
    <x v="39"/>
    <x v="2"/>
    <n v="4"/>
    <n v="2600"/>
    <n v="45.8"/>
    <n v="320"/>
    <n v="90"/>
    <n v="320"/>
    <n v="108.5"/>
    <n v="361305"/>
    <n v="3330"/>
  </r>
  <r>
    <x v="68"/>
    <x v="511"/>
    <x v="572"/>
    <x v="40"/>
    <x v="1"/>
    <n v="3"/>
    <n v="2800"/>
    <n v="48.5"/>
    <n v="350"/>
    <n v="150"/>
    <n v="280"/>
    <n v="42150"/>
    <n v="150897000"/>
    <n v="3580"/>
  </r>
  <r>
    <x v="69"/>
    <x v="512"/>
    <x v="573"/>
    <x v="14"/>
    <x v="0"/>
    <n v="2"/>
    <n v="3800"/>
    <n v="41.2"/>
    <n v="250"/>
    <n v="160"/>
    <n v="250"/>
    <n v="12300"/>
    <n v="54858000"/>
    <n v="4460"/>
  </r>
  <r>
    <x v="70"/>
    <x v="513"/>
    <x v="538"/>
    <x v="12"/>
    <x v="1"/>
    <n v="4"/>
    <n v="5000"/>
    <n v="44.5"/>
    <n v="350"/>
    <n v="110"/>
    <n v="300"/>
    <n v="1"/>
    <n v="5760"/>
    <n v="5760"/>
  </r>
  <r>
    <x v="63"/>
    <x v="514"/>
    <x v="574"/>
    <x v="42"/>
    <x v="0"/>
    <n v="2"/>
    <n v="2100"/>
    <n v="38.5"/>
    <n v="180"/>
    <n v="100"/>
    <n v="200"/>
    <n v="109.5"/>
    <n v="282510"/>
    <n v="2580"/>
  </r>
  <r>
    <x v="64"/>
    <x v="515"/>
    <x v="575"/>
    <x v="6"/>
    <x v="2"/>
    <n v="4"/>
    <n v="14000"/>
    <n v="66.8"/>
    <n v="700"/>
    <n v="140"/>
    <n v="700"/>
    <n v="0.31"/>
    <n v="4817.3999999999996"/>
    <n v="15540"/>
  </r>
  <r>
    <x v="65"/>
    <x v="516"/>
    <x v="576"/>
    <x v="1"/>
    <x v="0"/>
    <n v="2"/>
    <n v="3400"/>
    <n v="42.5"/>
    <n v="330"/>
    <n v="120"/>
    <n v="300"/>
    <n v="36.799999999999997"/>
    <n v="152720"/>
    <n v="4150"/>
  </r>
  <r>
    <x v="66"/>
    <x v="517"/>
    <x v="577"/>
    <x v="41"/>
    <x v="1"/>
    <n v="3"/>
    <n v="4000"/>
    <n v="57.2"/>
    <n v="420"/>
    <n v="80"/>
    <n v="450"/>
    <n v="0.92"/>
    <n v="4554"/>
    <n v="4950"/>
  </r>
  <r>
    <x v="67"/>
    <x v="518"/>
    <x v="578"/>
    <x v="12"/>
    <x v="0"/>
    <n v="2"/>
    <n v="2500"/>
    <n v="44.2"/>
    <n v="300"/>
    <n v="90"/>
    <n v="320"/>
    <n v="108.5"/>
    <n v="348285"/>
    <n v="3210"/>
  </r>
  <r>
    <x v="68"/>
    <x v="519"/>
    <x v="579"/>
    <x v="14"/>
    <x v="2"/>
    <n v="4"/>
    <n v="2900"/>
    <n v="47.8"/>
    <n v="320"/>
    <n v="150"/>
    <n v="280"/>
    <n v="42150"/>
    <n v="153847500"/>
    <n v="3650"/>
  </r>
  <r>
    <x v="69"/>
    <x v="520"/>
    <x v="580"/>
    <x v="0"/>
    <x v="1"/>
    <n v="4"/>
    <n v="3500"/>
    <n v="39.799999999999997"/>
    <n v="220"/>
    <n v="160"/>
    <n v="250"/>
    <n v="12300"/>
    <n v="50799000"/>
    <n v="4130"/>
  </r>
  <r>
    <x v="70"/>
    <x v="521"/>
    <x v="581"/>
    <x v="40"/>
    <x v="0"/>
    <n v="2"/>
    <n v="4800"/>
    <n v="43.2"/>
    <n v="320"/>
    <n v="110"/>
    <n v="300"/>
    <n v="1"/>
    <n v="5530"/>
    <n v="5530"/>
  </r>
  <r>
    <x v="63"/>
    <x v="522"/>
    <x v="582"/>
    <x v="39"/>
    <x v="0"/>
    <n v="2"/>
    <n v="2000"/>
    <n v="37.200000000000003"/>
    <n v="170"/>
    <n v="100"/>
    <n v="200"/>
    <n v="109.5"/>
    <n v="270465"/>
    <n v="2470"/>
  </r>
  <r>
    <x v="64"/>
    <x v="523"/>
    <x v="583"/>
    <x v="1"/>
    <x v="1"/>
    <n v="3"/>
    <n v="13500"/>
    <n v="65.400000000000006"/>
    <n v="680"/>
    <n v="140"/>
    <n v="700"/>
    <n v="0.31"/>
    <n v="4656.2"/>
    <n v="15020"/>
  </r>
  <r>
    <x v="65"/>
    <x v="524"/>
    <x v="584"/>
    <x v="6"/>
    <x v="2"/>
    <n v="4"/>
    <n v="3600"/>
    <n v="41.8"/>
    <n v="320"/>
    <n v="120"/>
    <n v="300"/>
    <n v="36.799999999999997"/>
    <n v="159712"/>
    <n v="4340"/>
  </r>
  <r>
    <x v="66"/>
    <x v="525"/>
    <x v="585"/>
    <x v="0"/>
    <x v="0"/>
    <n v="2"/>
    <n v="4100"/>
    <n v="56.5"/>
    <n v="400"/>
    <n v="80"/>
    <n v="450"/>
    <n v="0.92"/>
    <n v="4627.6000000000004"/>
    <n v="5030"/>
  </r>
  <r>
    <x v="67"/>
    <x v="526"/>
    <x v="586"/>
    <x v="44"/>
    <x v="1"/>
    <n v="4"/>
    <n v="2400"/>
    <n v="43.5"/>
    <n v="280"/>
    <n v="90"/>
    <n v="320"/>
    <n v="108.5"/>
    <n v="335265"/>
    <n v="3090"/>
  </r>
  <r>
    <x v="68"/>
    <x v="527"/>
    <x v="587"/>
    <x v="42"/>
    <x v="0"/>
    <n v="2"/>
    <n v="2700"/>
    <n v="46.8"/>
    <n v="300"/>
    <n v="150"/>
    <n v="280"/>
    <n v="42150"/>
    <n v="144574500"/>
    <n v="3430"/>
  </r>
  <r>
    <x v="69"/>
    <x v="528"/>
    <x v="588"/>
    <x v="41"/>
    <x v="0"/>
    <n v="2"/>
    <n v="3400"/>
    <n v="38.5"/>
    <n v="200"/>
    <n v="160"/>
    <n v="250"/>
    <n v="12300"/>
    <n v="49323000"/>
    <n v="4010"/>
  </r>
  <r>
    <x v="70"/>
    <x v="529"/>
    <x v="589"/>
    <x v="1"/>
    <x v="1"/>
    <n v="3"/>
    <n v="4500"/>
    <n v="42.8"/>
    <n v="300"/>
    <n v="110"/>
    <n v="300"/>
    <n v="1"/>
    <n v="5210"/>
    <n v="5210"/>
  </r>
  <r>
    <x v="63"/>
    <x v="530"/>
    <x v="590"/>
    <x v="12"/>
    <x v="2"/>
    <n v="4"/>
    <n v="2300"/>
    <n v="36.799999999999997"/>
    <n v="160"/>
    <n v="100"/>
    <n v="200"/>
    <n v="109.5"/>
    <n v="302220"/>
    <n v="2760"/>
  </r>
  <r>
    <x v="64"/>
    <x v="531"/>
    <x v="591"/>
    <x v="39"/>
    <x v="0"/>
    <n v="2"/>
    <n v="13000"/>
    <n v="64.5"/>
    <n v="650"/>
    <n v="140"/>
    <n v="700"/>
    <n v="0.31"/>
    <n v="4491.8999999999996"/>
    <n v="14490"/>
  </r>
  <r>
    <x v="65"/>
    <x v="532"/>
    <x v="592"/>
    <x v="14"/>
    <x v="0"/>
    <n v="2"/>
    <n v="3300"/>
    <n v="40.5"/>
    <n v="300"/>
    <n v="120"/>
    <n v="300"/>
    <n v="36.799999999999997"/>
    <n v="147936"/>
    <n v="4020"/>
  </r>
  <r>
    <x v="66"/>
    <x v="533"/>
    <x v="593"/>
    <x v="40"/>
    <x v="1"/>
    <n v="3"/>
    <n v="3900"/>
    <n v="55.4"/>
    <n v="380"/>
    <n v="80"/>
    <n v="450"/>
    <n v="0.92"/>
    <n v="4425.2"/>
    <n v="4810"/>
  </r>
  <r>
    <x v="67"/>
    <x v="534"/>
    <x v="594"/>
    <x v="0"/>
    <x v="0"/>
    <n v="2"/>
    <n v="2300"/>
    <n v="42.8"/>
    <n v="270"/>
    <n v="90"/>
    <n v="320"/>
    <n v="108.5"/>
    <n v="323330"/>
    <n v="2980"/>
  </r>
  <r>
    <x v="68"/>
    <x v="535"/>
    <x v="595"/>
    <x v="6"/>
    <x v="2"/>
    <n v="4"/>
    <n v="2600"/>
    <n v="45.5"/>
    <n v="280"/>
    <n v="150"/>
    <n v="280"/>
    <n v="42150"/>
    <n v="139516500"/>
    <n v="3310"/>
  </r>
  <r>
    <x v="69"/>
    <x v="536"/>
    <x v="596"/>
    <x v="42"/>
    <x v="0"/>
    <n v="2"/>
    <n v="3200"/>
    <n v="37.799999999999997"/>
    <n v="180"/>
    <n v="160"/>
    <n v="250"/>
    <n v="12300"/>
    <n v="46617000"/>
    <n v="3790"/>
  </r>
  <r>
    <x v="70"/>
    <x v="537"/>
    <x v="597"/>
    <x v="12"/>
    <x v="1"/>
    <n v="4"/>
    <n v="4200"/>
    <n v="42.1"/>
    <n v="280"/>
    <n v="110"/>
    <n v="300"/>
    <n v="1"/>
    <n v="4890"/>
    <n v="4890"/>
  </r>
  <r>
    <x v="25"/>
    <x v="47"/>
    <x v="49"/>
    <x v="0"/>
    <x v="0"/>
    <n v="2"/>
    <n v="8500"/>
    <n v="55.4"/>
    <n v="500"/>
    <n v="120"/>
    <n v="400"/>
    <n v="4.6500000000000004"/>
    <n v="44268"/>
    <n v="9520"/>
  </r>
  <r>
    <x v="41"/>
    <x v="133"/>
    <x v="138"/>
    <x v="1"/>
    <x v="2"/>
    <n v="4"/>
    <n v="5000"/>
    <n v="72.5"/>
    <n v="800"/>
    <n v="200"/>
    <n v="800"/>
    <n v="3.75"/>
    <n v="25500"/>
    <n v="6800"/>
  </r>
  <r>
    <x v="0"/>
    <x v="30"/>
    <x v="0"/>
    <x v="6"/>
    <x v="0"/>
    <n v="2"/>
    <n v="58000"/>
    <n v="82.1"/>
    <n v="2200"/>
    <n v="160"/>
    <n v="1500"/>
    <n v="1"/>
    <n v="61860"/>
    <n v="61860"/>
  </r>
  <r>
    <x v="1"/>
    <x v="1"/>
    <x v="598"/>
    <x v="12"/>
    <x v="0"/>
    <n v="2"/>
    <n v="42000"/>
    <n v="75.3"/>
    <n v="1800"/>
    <n v="485"/>
    <n v="800"/>
    <n v="0.79"/>
    <n v="35617.15"/>
    <n v="45085"/>
  </r>
  <r>
    <x v="26"/>
    <x v="287"/>
    <x v="599"/>
    <x v="39"/>
    <x v="2"/>
    <n v="4"/>
    <n v="3500"/>
    <n v="71.400000000000006"/>
    <n v="1100"/>
    <n v="80"/>
    <n v="750"/>
    <n v="0.92"/>
    <n v="4995.6000000000004"/>
    <n v="5430"/>
  </r>
  <r>
    <x v="27"/>
    <x v="54"/>
    <x v="56"/>
    <x v="14"/>
    <x v="0"/>
    <n v="2"/>
    <n v="4000"/>
    <n v="73.2"/>
    <n v="1200"/>
    <n v="120"/>
    <n v="700"/>
    <n v="0.92"/>
    <n v="5538.4000000000005"/>
    <n v="6020"/>
  </r>
  <r>
    <x v="8"/>
    <x v="8"/>
    <x v="8"/>
    <x v="0"/>
    <x v="0"/>
    <n v="2"/>
    <n v="4500"/>
    <n v="84.3"/>
    <n v="1800"/>
    <n v="99"/>
    <n v="850"/>
    <n v="0.92"/>
    <n v="6669.08"/>
    <n v="7249"/>
  </r>
  <r>
    <x v="25"/>
    <x v="538"/>
    <x v="600"/>
    <x v="40"/>
    <x v="1"/>
    <n v="3"/>
    <n v="7500"/>
    <n v="52.1"/>
    <n v="450"/>
    <n v="120"/>
    <n v="400"/>
    <n v="4.6500000000000004"/>
    <n v="39385.5"/>
    <n v="8470"/>
  </r>
  <r>
    <x v="41"/>
    <x v="539"/>
    <x v="601"/>
    <x v="44"/>
    <x v="0"/>
    <n v="2"/>
    <n v="4800"/>
    <n v="70.2"/>
    <n v="750"/>
    <n v="200"/>
    <n v="800"/>
    <n v="3.75"/>
    <n v="24562.5"/>
    <n v="6550"/>
  </r>
  <r>
    <x v="0"/>
    <x v="29"/>
    <x v="29"/>
    <x v="0"/>
    <x v="2"/>
    <n v="5"/>
    <n v="52000"/>
    <n v="84.3"/>
    <n v="2300"/>
    <n v="160"/>
    <n v="1500"/>
    <n v="1"/>
    <n v="55960"/>
    <n v="55960"/>
  </r>
  <r>
    <x v="1"/>
    <x v="0"/>
    <x v="32"/>
    <x v="6"/>
    <x v="2"/>
    <n v="4"/>
    <n v="45000"/>
    <n v="71.5"/>
    <n v="1600"/>
    <n v="485"/>
    <n v="800"/>
    <n v="0.79"/>
    <n v="37829.15"/>
    <n v="47885"/>
  </r>
  <r>
    <x v="26"/>
    <x v="53"/>
    <x v="602"/>
    <x v="1"/>
    <x v="0"/>
    <n v="2"/>
    <n v="3800"/>
    <n v="73.599999999999994"/>
    <n v="1000"/>
    <n v="80"/>
    <n v="750"/>
    <n v="0.92"/>
    <n v="5179.6000000000004"/>
    <n v="5630"/>
  </r>
  <r>
    <x v="27"/>
    <x v="288"/>
    <x v="343"/>
    <x v="39"/>
    <x v="1"/>
    <n v="3"/>
    <n v="3500"/>
    <n v="71.2"/>
    <n v="1100"/>
    <n v="120"/>
    <n v="700"/>
    <n v="0.92"/>
    <n v="4986.4000000000005"/>
    <n v="5420"/>
  </r>
  <r>
    <x v="8"/>
    <x v="146"/>
    <x v="603"/>
    <x v="12"/>
    <x v="0"/>
    <n v="2"/>
    <n v="4200"/>
    <n v="75.599999999999994"/>
    <n v="1200"/>
    <n v="99"/>
    <n v="850"/>
    <n v="0.92"/>
    <n v="5841.08"/>
    <n v="6349"/>
  </r>
  <r>
    <x v="25"/>
    <x v="540"/>
    <x v="604"/>
    <x v="14"/>
    <x v="2"/>
    <n v="4"/>
    <n v="8000"/>
    <n v="51.8"/>
    <n v="400"/>
    <n v="120"/>
    <n v="400"/>
    <n v="4.6500000000000004"/>
    <n v="41478"/>
    <n v="8920"/>
  </r>
  <r>
    <x v="41"/>
    <x v="541"/>
    <x v="605"/>
    <x v="0"/>
    <x v="0"/>
    <n v="2"/>
    <n v="4500"/>
    <n v="68.5"/>
    <n v="700"/>
    <n v="200"/>
    <n v="800"/>
    <n v="3.75"/>
    <n v="23250"/>
    <n v="6200"/>
  </r>
  <r>
    <x v="0"/>
    <x v="48"/>
    <x v="50"/>
    <x v="1"/>
    <x v="0"/>
    <n v="2"/>
    <n v="54000"/>
    <n v="83.2"/>
    <n v="2000"/>
    <n v="160"/>
    <n v="1500"/>
    <n v="1"/>
    <n v="57660"/>
    <n v="57660"/>
  </r>
  <r>
    <x v="1"/>
    <x v="31"/>
    <x v="31"/>
    <x v="39"/>
    <x v="0"/>
    <n v="2"/>
    <n v="40000"/>
    <n v="71.5"/>
    <n v="1400"/>
    <n v="485"/>
    <n v="800"/>
    <n v="0.79"/>
    <n v="33721.15"/>
    <n v="42685"/>
  </r>
  <r>
    <x v="26"/>
    <x v="292"/>
    <x v="606"/>
    <x v="40"/>
    <x v="2"/>
    <n v="4"/>
    <n v="3200"/>
    <n v="68.5"/>
    <n v="800"/>
    <n v="80"/>
    <n v="750"/>
    <n v="0.92"/>
    <n v="4443.6000000000004"/>
    <n v="4830"/>
  </r>
  <r>
    <x v="27"/>
    <x v="293"/>
    <x v="348"/>
    <x v="6"/>
    <x v="0"/>
    <n v="2"/>
    <n v="3800"/>
    <n v="69.8"/>
    <n v="900"/>
    <n v="120"/>
    <n v="700"/>
    <n v="0.92"/>
    <n v="5078.4000000000005"/>
    <n v="5520"/>
  </r>
  <r>
    <x v="8"/>
    <x v="145"/>
    <x v="159"/>
    <x v="44"/>
    <x v="2"/>
    <n v="4"/>
    <n v="4300"/>
    <n v="72.099999999999994"/>
    <n v="1000"/>
    <n v="99"/>
    <n v="850"/>
    <n v="0.92"/>
    <n v="5749.08"/>
    <n v="6249"/>
  </r>
  <r>
    <x v="25"/>
    <x v="542"/>
    <x v="607"/>
    <x v="0"/>
    <x v="0"/>
    <n v="2"/>
    <n v="7000"/>
    <n v="49.5"/>
    <n v="380"/>
    <n v="120"/>
    <n v="400"/>
    <n v="4.6500000000000004"/>
    <n v="36735"/>
    <n v="7900"/>
  </r>
  <r>
    <x v="41"/>
    <x v="543"/>
    <x v="608"/>
    <x v="42"/>
    <x v="1"/>
    <n v="4"/>
    <n v="4200"/>
    <n v="65.400000000000006"/>
    <n v="650"/>
    <n v="200"/>
    <n v="800"/>
    <n v="3.75"/>
    <n v="21937.5"/>
    <n v="5850"/>
  </r>
  <r>
    <x v="0"/>
    <x v="544"/>
    <x v="609"/>
    <x v="30"/>
    <x v="2"/>
    <n v="5"/>
    <n v="56000"/>
    <n v="82.1"/>
    <n v="2100"/>
    <n v="160"/>
    <n v="1500"/>
    <n v="1"/>
    <n v="59760"/>
    <n v="59760"/>
  </r>
  <r>
    <x v="1"/>
    <x v="188"/>
    <x v="218"/>
    <x v="1"/>
    <x v="0"/>
    <n v="2"/>
    <n v="38000"/>
    <n v="67.8"/>
    <n v="1100"/>
    <n v="485"/>
    <n v="800"/>
    <n v="0.79"/>
    <n v="31904.15"/>
    <n v="40385"/>
  </r>
  <r>
    <x v="26"/>
    <x v="297"/>
    <x v="352"/>
    <x v="12"/>
    <x v="0"/>
    <n v="2"/>
    <n v="3000"/>
    <n v="65.400000000000006"/>
    <n v="750"/>
    <n v="80"/>
    <n v="750"/>
    <n v="0.92"/>
    <n v="4213.6000000000004"/>
    <n v="4580"/>
  </r>
  <r>
    <x v="27"/>
    <x v="298"/>
    <x v="353"/>
    <x v="40"/>
    <x v="2"/>
    <n v="4"/>
    <n v="3600"/>
    <n v="70.5"/>
    <n v="950"/>
    <n v="120"/>
    <n v="700"/>
    <n v="0.92"/>
    <n v="4940.4000000000005"/>
    <n v="5370"/>
  </r>
  <r>
    <x v="8"/>
    <x v="545"/>
    <x v="610"/>
    <x v="6"/>
    <x v="0"/>
    <n v="2"/>
    <n v="4100"/>
    <n v="73.5"/>
    <n v="1100"/>
    <n v="99"/>
    <n v="850"/>
    <n v="0.92"/>
    <n v="5657.08"/>
    <n v="6149"/>
  </r>
  <r>
    <x v="25"/>
    <x v="546"/>
    <x v="611"/>
    <x v="14"/>
    <x v="1"/>
    <n v="3"/>
    <n v="7800"/>
    <n v="53.2"/>
    <n v="450"/>
    <n v="120"/>
    <n v="400"/>
    <n v="4.6500000000000004"/>
    <n v="40780.5"/>
    <n v="8770"/>
  </r>
  <r>
    <x v="41"/>
    <x v="547"/>
    <x v="612"/>
    <x v="0"/>
    <x v="0"/>
    <n v="2"/>
    <n v="4600"/>
    <n v="67.8"/>
    <n v="680"/>
    <n v="200"/>
    <n v="800"/>
    <n v="3.75"/>
    <n v="23550"/>
    <n v="6280"/>
  </r>
  <r>
    <x v="0"/>
    <x v="126"/>
    <x v="131"/>
    <x v="1"/>
    <x v="0"/>
    <n v="2"/>
    <n v="62000"/>
    <n v="100"/>
    <n v="2500"/>
    <n v="160"/>
    <n v="1500"/>
    <n v="1"/>
    <n v="66160"/>
    <n v="66160"/>
  </r>
  <r>
    <x v="1"/>
    <x v="49"/>
    <x v="51"/>
    <x v="39"/>
    <x v="2"/>
    <n v="4"/>
    <n v="35000"/>
    <n v="65.400000000000006"/>
    <n v="900"/>
    <n v="485"/>
    <n v="800"/>
    <n v="0.79"/>
    <n v="29376.15"/>
    <n v="37185"/>
  </r>
  <r>
    <x v="26"/>
    <x v="307"/>
    <x v="613"/>
    <x v="0"/>
    <x v="1"/>
    <n v="3"/>
    <n v="2800"/>
    <n v="64.5"/>
    <n v="700"/>
    <n v="80"/>
    <n v="750"/>
    <n v="0.92"/>
    <n v="3983.6000000000004"/>
    <n v="4330"/>
  </r>
  <r>
    <x v="27"/>
    <x v="303"/>
    <x v="358"/>
    <x v="44"/>
    <x v="0"/>
    <n v="2"/>
    <n v="3500"/>
    <n v="71.2"/>
    <n v="1000"/>
    <n v="120"/>
    <n v="700"/>
    <n v="0.92"/>
    <n v="4894.4000000000005"/>
    <n v="5320"/>
  </r>
  <r>
    <x v="8"/>
    <x v="149"/>
    <x v="163"/>
    <x v="40"/>
    <x v="2"/>
    <n v="4"/>
    <n v="4300"/>
    <n v="72.099999999999994"/>
    <n v="1000"/>
    <n v="99"/>
    <n v="850"/>
    <n v="0.92"/>
    <n v="5749.08"/>
    <n v="6249"/>
  </r>
  <r>
    <x v="25"/>
    <x v="548"/>
    <x v="614"/>
    <x v="6"/>
    <x v="0"/>
    <n v="2"/>
    <n v="7200"/>
    <n v="51.5"/>
    <n v="420"/>
    <n v="120"/>
    <n v="400"/>
    <n v="4.6500000000000004"/>
    <n v="37851"/>
    <n v="8140"/>
  </r>
  <r>
    <x v="41"/>
    <x v="549"/>
    <x v="615"/>
    <x v="42"/>
    <x v="0"/>
    <n v="2"/>
    <n v="4400"/>
    <n v="64.5"/>
    <n v="600"/>
    <n v="200"/>
    <n v="800"/>
    <n v="3.75"/>
    <n v="22500"/>
    <n v="6000"/>
  </r>
  <r>
    <x v="0"/>
    <x v="180"/>
    <x v="207"/>
    <x v="12"/>
    <x v="2"/>
    <n v="5"/>
    <n v="52000"/>
    <n v="79.8"/>
    <n v="2200"/>
    <n v="160"/>
    <n v="1500"/>
    <n v="1"/>
    <n v="55860"/>
    <n v="55860"/>
  </r>
  <r>
    <x v="1"/>
    <x v="22"/>
    <x v="22"/>
    <x v="14"/>
    <x v="0"/>
    <n v="2"/>
    <n v="36000"/>
    <n v="68.900000000000006"/>
    <n v="1200"/>
    <n v="485"/>
    <n v="800"/>
    <n v="0.79"/>
    <n v="30403.15"/>
    <n v="38485"/>
  </r>
  <r>
    <x v="26"/>
    <x v="302"/>
    <x v="357"/>
    <x v="41"/>
    <x v="0"/>
    <n v="2"/>
    <n v="3400"/>
    <n v="67.8"/>
    <n v="850"/>
    <n v="80"/>
    <n v="750"/>
    <n v="0.92"/>
    <n v="4673.6000000000004"/>
    <n v="5080"/>
  </r>
  <r>
    <x v="27"/>
    <x v="308"/>
    <x v="363"/>
    <x v="0"/>
    <x v="1"/>
    <n v="3"/>
    <n v="3200"/>
    <n v="67.8"/>
    <n v="800"/>
    <n v="120"/>
    <n v="700"/>
    <n v="0.92"/>
    <n v="4434.4000000000005"/>
    <n v="4820"/>
  </r>
  <r>
    <x v="8"/>
    <x v="148"/>
    <x v="286"/>
    <x v="1"/>
    <x v="0"/>
    <n v="2"/>
    <n v="4100"/>
    <n v="76.5"/>
    <n v="1300"/>
    <n v="99"/>
    <n v="850"/>
    <n v="0.92"/>
    <n v="5841.08"/>
    <n v="6349"/>
  </r>
  <r>
    <x v="25"/>
    <x v="550"/>
    <x v="616"/>
    <x v="39"/>
    <x v="2"/>
    <n v="4"/>
    <n v="7500"/>
    <n v="50.2"/>
    <n v="400"/>
    <n v="120"/>
    <n v="400"/>
    <n v="4.6500000000000004"/>
    <n v="39153"/>
    <n v="8420"/>
  </r>
  <r>
    <x v="41"/>
    <x v="551"/>
    <x v="617"/>
    <x v="12"/>
    <x v="1"/>
    <n v="4"/>
    <n v="4100"/>
    <n v="63.2"/>
    <n v="580"/>
    <n v="200"/>
    <n v="800"/>
    <n v="3.75"/>
    <n v="21300"/>
    <n v="5680"/>
  </r>
  <r>
    <x v="0"/>
    <x v="89"/>
    <x v="92"/>
    <x v="6"/>
    <x v="0"/>
    <n v="2"/>
    <n v="58000"/>
    <n v="84.1"/>
    <n v="1900"/>
    <n v="160"/>
    <n v="1500"/>
    <n v="1"/>
    <n v="61560"/>
    <n v="61560"/>
  </r>
  <r>
    <x v="1"/>
    <x v="41"/>
    <x v="43"/>
    <x v="44"/>
    <x v="2"/>
    <n v="4"/>
    <n v="34000"/>
    <n v="64.5"/>
    <n v="950"/>
    <n v="485"/>
    <n v="800"/>
    <n v="0.79"/>
    <n v="28625.65"/>
    <n v="36235"/>
  </r>
  <r>
    <x v="26"/>
    <x v="317"/>
    <x v="372"/>
    <x v="40"/>
    <x v="0"/>
    <n v="2"/>
    <n v="3100"/>
    <n v="62.1"/>
    <n v="600"/>
    <n v="80"/>
    <n v="750"/>
    <n v="0.92"/>
    <n v="4167.6000000000004"/>
    <n v="4530"/>
  </r>
  <r>
    <x v="27"/>
    <x v="313"/>
    <x v="368"/>
    <x v="42"/>
    <x v="0"/>
    <n v="2"/>
    <n v="3300"/>
    <n v="68.900000000000006"/>
    <n v="850"/>
    <n v="120"/>
    <n v="700"/>
    <n v="0.92"/>
    <n v="4572.4000000000005"/>
    <n v="4970"/>
  </r>
  <r>
    <x v="8"/>
    <x v="150"/>
    <x v="290"/>
    <x v="0"/>
    <x v="1"/>
    <n v="3"/>
    <n v="4200"/>
    <n v="69.8"/>
    <n v="950"/>
    <n v="99"/>
    <n v="850"/>
    <n v="0.92"/>
    <n v="5611.08"/>
    <n v="6099"/>
  </r>
  <r>
    <x v="25"/>
    <x v="552"/>
    <x v="618"/>
    <x v="14"/>
    <x v="0"/>
    <n v="2"/>
    <n v="7100"/>
    <n v="51.8"/>
    <n v="430"/>
    <n v="120"/>
    <n v="400"/>
    <n v="4.6500000000000004"/>
    <n v="37432.5"/>
    <n v="8050"/>
  </r>
  <r>
    <x v="41"/>
    <x v="553"/>
    <x v="619"/>
    <x v="41"/>
    <x v="2"/>
    <n v="4"/>
    <n v="4300"/>
    <n v="65.8"/>
    <n v="650"/>
    <n v="200"/>
    <n v="800"/>
    <n v="3.75"/>
    <n v="22312.5"/>
    <n v="5950"/>
  </r>
  <r>
    <x v="0"/>
    <x v="235"/>
    <x v="29"/>
    <x v="1"/>
    <x v="0"/>
    <n v="2"/>
    <n v="55000"/>
    <n v="95.2"/>
    <n v="2400"/>
    <n v="160"/>
    <n v="1500"/>
    <n v="1"/>
    <n v="59060"/>
    <n v="59060"/>
  </r>
  <r>
    <x v="1"/>
    <x v="98"/>
    <x v="102"/>
    <x v="12"/>
    <x v="0"/>
    <n v="2"/>
    <n v="35000"/>
    <n v="63.2"/>
    <n v="900"/>
    <n v="485"/>
    <n v="800"/>
    <n v="0.79"/>
    <n v="29376.15"/>
    <n v="37185"/>
  </r>
  <r>
    <x v="26"/>
    <x v="312"/>
    <x v="367"/>
    <x v="6"/>
    <x v="2"/>
    <n v="4"/>
    <n v="2900"/>
    <n v="63.2"/>
    <n v="650"/>
    <n v="80"/>
    <n v="750"/>
    <n v="0.92"/>
    <n v="4029.6000000000004"/>
    <n v="4380"/>
  </r>
  <r>
    <x v="27"/>
    <x v="318"/>
    <x v="373"/>
    <x v="39"/>
    <x v="0"/>
    <n v="2"/>
    <n v="3400"/>
    <n v="69.5"/>
    <n v="900"/>
    <n v="120"/>
    <n v="700"/>
    <n v="0.92"/>
    <n v="4710.4000000000005"/>
    <n v="5120"/>
  </r>
  <r>
    <x v="8"/>
    <x v="152"/>
    <x v="166"/>
    <x v="14"/>
    <x v="0"/>
    <n v="2"/>
    <n v="4000"/>
    <n v="70.2"/>
    <n v="1000"/>
    <n v="99"/>
    <n v="850"/>
    <n v="0.92"/>
    <n v="5473.08"/>
    <n v="5949"/>
  </r>
  <r>
    <x v="25"/>
    <x v="554"/>
    <x v="620"/>
    <x v="0"/>
    <x v="1"/>
    <n v="3"/>
    <n v="6800"/>
    <n v="50.5"/>
    <n v="400"/>
    <n v="120"/>
    <n v="400"/>
    <n v="4.6500000000000004"/>
    <n v="35898"/>
    <n v="7720"/>
  </r>
  <r>
    <x v="41"/>
    <x v="555"/>
    <x v="621"/>
    <x v="40"/>
    <x v="0"/>
    <n v="2"/>
    <n v="4200"/>
    <n v="64.2"/>
    <n v="600"/>
    <n v="200"/>
    <n v="800"/>
    <n v="3.75"/>
    <n v="21750"/>
    <n v="5800"/>
  </r>
  <r>
    <x v="0"/>
    <x v="39"/>
    <x v="41"/>
    <x v="42"/>
    <x v="2"/>
    <n v="5"/>
    <n v="50000"/>
    <n v="77.8"/>
    <n v="2000"/>
    <n v="160"/>
    <n v="1500"/>
    <n v="1"/>
    <n v="53660"/>
    <n v="53660"/>
  </r>
  <r>
    <x v="1"/>
    <x v="103"/>
    <x v="107"/>
    <x v="44"/>
    <x v="0"/>
    <n v="2"/>
    <n v="34000"/>
    <n v="61.2"/>
    <n v="800"/>
    <n v="485"/>
    <n v="800"/>
    <n v="0.79"/>
    <n v="28507.15"/>
    <n v="360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DAB0C2-CEF1-4C0D-A19C-33838B5CC008}" name="PivotTable7" cacheId="3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U1:V12" firstHeaderRow="1" firstDataRow="1" firstDataCol="1"/>
  <pivotFields count="14">
    <pivotField axis="axisRow" showAll="0" measureFilter="1" sortType="descending">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autoSortScope>
        <pivotArea dataOnly="0" outline="0" fieldPosition="0">
          <references count="1">
            <reference field="4294967294" count="1" selected="0">
              <x v="0"/>
            </reference>
          </references>
        </pivotArea>
      </autoSortScope>
    </pivotField>
    <pivotField showAll="0">
      <items count="557">
        <item x="254"/>
        <item x="81"/>
        <item x="43"/>
        <item x="163"/>
        <item x="190"/>
        <item x="357"/>
        <item x="464"/>
        <item x="68"/>
        <item x="367"/>
        <item x="387"/>
        <item x="531"/>
        <item x="372"/>
        <item x="515"/>
        <item x="555"/>
        <item x="361"/>
        <item x="465"/>
        <item x="490"/>
        <item x="6"/>
        <item x="536"/>
        <item x="324"/>
        <item x="19"/>
        <item x="488"/>
        <item x="339"/>
        <item x="332"/>
        <item x="431"/>
        <item x="77"/>
        <item x="208"/>
        <item x="381"/>
        <item x="123"/>
        <item x="243"/>
        <item x="20"/>
        <item x="16"/>
        <item x="21"/>
        <item x="279"/>
        <item x="230"/>
        <item x="90"/>
        <item x="392"/>
        <item x="42"/>
        <item x="548"/>
        <item x="124"/>
        <item x="53"/>
        <item x="399"/>
        <item x="33"/>
        <item x="195"/>
        <item x="12"/>
        <item x="460"/>
        <item x="105"/>
        <item x="502"/>
        <item x="396"/>
        <item x="246"/>
        <item x="48"/>
        <item x="52"/>
        <item x="156"/>
        <item x="418"/>
        <item x="302"/>
        <item x="101"/>
        <item x="454"/>
        <item x="257"/>
        <item x="384"/>
        <item x="298"/>
        <item x="234"/>
        <item x="149"/>
        <item x="414"/>
        <item x="30"/>
        <item x="95"/>
        <item x="277"/>
        <item x="407"/>
        <item x="84"/>
        <item x="262"/>
        <item x="228"/>
        <item x="22"/>
        <item x="203"/>
        <item x="18"/>
        <item x="405"/>
        <item x="385"/>
        <item x="323"/>
        <item x="131"/>
        <item x="520"/>
        <item x="486"/>
        <item x="335"/>
        <item x="15"/>
        <item x="468"/>
        <item x="130"/>
        <item x="118"/>
        <item x="393"/>
        <item x="0"/>
        <item x="358"/>
        <item x="36"/>
        <item x="480"/>
        <item x="129"/>
        <item x="104"/>
        <item x="415"/>
        <item x="430"/>
        <item x="533"/>
        <item x="319"/>
        <item x="170"/>
        <item x="364"/>
        <item x="177"/>
        <item x="356"/>
        <item x="89"/>
        <item x="458"/>
        <item x="350"/>
        <item x="489"/>
        <item x="506"/>
        <item x="273"/>
        <item x="390"/>
        <item x="275"/>
        <item x="186"/>
        <item x="233"/>
        <item x="182"/>
        <item x="411"/>
        <item x="481"/>
        <item x="11"/>
        <item x="432"/>
        <item x="236"/>
        <item x="187"/>
        <item x="215"/>
        <item x="417"/>
        <item x="475"/>
        <item x="445"/>
        <item x="546"/>
        <item x="171"/>
        <item x="46"/>
        <item x="547"/>
        <item x="83"/>
        <item x="74"/>
        <item x="474"/>
        <item x="97"/>
        <item x="217"/>
        <item x="326"/>
        <item x="34"/>
        <item x="359"/>
        <item x="419"/>
        <item x="239"/>
        <item x="541"/>
        <item x="498"/>
        <item x="408"/>
        <item x="532"/>
        <item x="320"/>
        <item x="78"/>
        <item x="125"/>
        <item x="14"/>
        <item x="456"/>
        <item x="199"/>
        <item x="276"/>
        <item x="92"/>
        <item x="188"/>
        <item x="40"/>
        <item x="136"/>
        <item x="137"/>
        <item x="263"/>
        <item x="391"/>
        <item x="331"/>
        <item x="245"/>
        <item x="194"/>
        <item x="197"/>
        <item x="441"/>
        <item x="282"/>
        <item x="437"/>
        <item x="303"/>
        <item x="373"/>
        <item x="232"/>
        <item x="87"/>
        <item x="159"/>
        <item x="382"/>
        <item x="62"/>
        <item x="286"/>
        <item x="447"/>
        <item x="184"/>
        <item x="45"/>
        <item x="406"/>
        <item x="155"/>
        <item x="325"/>
        <item x="455"/>
        <item x="366"/>
        <item x="260"/>
        <item x="41"/>
        <item x="70"/>
        <item x="274"/>
        <item x="307"/>
        <item x="290"/>
        <item x="219"/>
        <item x="147"/>
        <item x="138"/>
        <item x="296"/>
        <item x="167"/>
        <item x="467"/>
        <item x="172"/>
        <item x="337"/>
        <item x="398"/>
        <item x="108"/>
        <item x="80"/>
        <item x="106"/>
        <item x="165"/>
        <item x="86"/>
        <item x="341"/>
        <item x="370"/>
        <item x="507"/>
        <item x="32"/>
        <item x="56"/>
        <item x="299"/>
        <item x="201"/>
        <item x="269"/>
        <item x="67"/>
        <item x="495"/>
        <item x="135"/>
        <item x="71"/>
        <item x="24"/>
        <item x="267"/>
        <item x="209"/>
        <item x="369"/>
        <item x="401"/>
        <item x="175"/>
        <item x="305"/>
        <item x="309"/>
        <item x="477"/>
        <item x="511"/>
        <item x="120"/>
        <item x="127"/>
        <item x="328"/>
        <item x="132"/>
        <item x="539"/>
        <item x="85"/>
        <item x="268"/>
        <item x="540"/>
        <item x="483"/>
        <item x="258"/>
        <item x="66"/>
        <item x="379"/>
        <item x="82"/>
        <item x="283"/>
        <item x="416"/>
        <item x="344"/>
        <item x="334"/>
        <item x="352"/>
        <item x="210"/>
        <item x="198"/>
        <item x="516"/>
        <item x="360"/>
        <item x="514"/>
        <item x="220"/>
        <item x="402"/>
        <item x="310"/>
        <item x="65"/>
        <item x="259"/>
        <item x="349"/>
        <item x="404"/>
        <item x="517"/>
        <item x="526"/>
        <item x="389"/>
        <item x="264"/>
        <item x="47"/>
        <item x="542"/>
        <item x="472"/>
        <item x="265"/>
        <item x="499"/>
        <item x="500"/>
        <item x="59"/>
        <item x="497"/>
        <item x="446"/>
        <item x="436"/>
        <item x="134"/>
        <item x="206"/>
        <item x="261"/>
        <item x="434"/>
        <item x="154"/>
        <item x="98"/>
        <item x="191"/>
        <item x="143"/>
        <item x="315"/>
        <item x="322"/>
        <item x="346"/>
        <item x="150"/>
        <item x="425"/>
        <item x="427"/>
        <item x="237"/>
        <item x="278"/>
        <item x="295"/>
        <item x="25"/>
        <item x="231"/>
        <item x="189"/>
        <item x="501"/>
        <item x="410"/>
        <item x="482"/>
        <item x="1"/>
        <item x="107"/>
        <item x="180"/>
        <item x="202"/>
        <item x="336"/>
        <item x="161"/>
        <item x="158"/>
        <item x="37"/>
        <item x="386"/>
        <item x="508"/>
        <item x="256"/>
        <item x="146"/>
        <item x="139"/>
        <item x="93"/>
        <item x="287"/>
        <item x="553"/>
        <item x="409"/>
        <item x="478"/>
        <item x="461"/>
        <item x="49"/>
        <item x="376"/>
        <item x="509"/>
        <item x="444"/>
        <item x="545"/>
        <item x="519"/>
        <item x="238"/>
        <item x="388"/>
        <item x="543"/>
        <item x="550"/>
        <item x="3"/>
        <item x="453"/>
        <item x="311"/>
        <item x="122"/>
        <item x="54"/>
        <item x="96"/>
        <item x="342"/>
        <item x="544"/>
        <item x="440"/>
        <item x="223"/>
        <item x="351"/>
        <item x="291"/>
        <item x="462"/>
        <item x="153"/>
        <item x="221"/>
        <item x="121"/>
        <item x="492"/>
        <item x="355"/>
        <item x="4"/>
        <item x="60"/>
        <item x="375"/>
        <item x="528"/>
        <item x="166"/>
        <item x="308"/>
        <item x="91"/>
        <item x="160"/>
        <item x="178"/>
        <item x="126"/>
        <item x="72"/>
        <item x="148"/>
        <item x="421"/>
        <item x="140"/>
        <item x="554"/>
        <item x="518"/>
        <item x="214"/>
        <item x="103"/>
        <item x="525"/>
        <item x="510"/>
        <item x="330"/>
        <item x="248"/>
        <item x="524"/>
        <item x="473"/>
        <item x="58"/>
        <item x="442"/>
        <item x="57"/>
        <item x="23"/>
        <item x="457"/>
        <item x="252"/>
        <item x="31"/>
        <item x="216"/>
        <item x="318"/>
        <item x="280"/>
        <item x="466"/>
        <item x="449"/>
        <item x="8"/>
        <item x="294"/>
        <item x="493"/>
        <item x="333"/>
        <item x="538"/>
        <item x="69"/>
        <item x="88"/>
        <item x="365"/>
        <item x="340"/>
        <item x="313"/>
        <item x="116"/>
        <item x="452"/>
        <item x="471"/>
        <item x="211"/>
        <item x="174"/>
        <item x="371"/>
        <item x="241"/>
        <item x="272"/>
        <item x="363"/>
        <item x="212"/>
        <item x="400"/>
        <item x="28"/>
        <item x="227"/>
        <item x="179"/>
        <item x="301"/>
        <item x="450"/>
        <item x="374"/>
        <item x="110"/>
        <item x="204"/>
        <item x="306"/>
        <item x="459"/>
        <item x="424"/>
        <item x="522"/>
        <item x="185"/>
        <item x="377"/>
        <item x="192"/>
        <item x="368"/>
        <item x="112"/>
        <item x="151"/>
        <item x="383"/>
        <item x="314"/>
        <item x="469"/>
        <item x="435"/>
        <item x="354"/>
        <item x="485"/>
        <item x="133"/>
        <item x="288"/>
        <item x="439"/>
        <item x="253"/>
        <item x="353"/>
        <item x="55"/>
        <item x="205"/>
        <item x="494"/>
        <item x="327"/>
        <item x="484"/>
        <item x="317"/>
        <item x="523"/>
        <item x="470"/>
        <item x="378"/>
        <item x="300"/>
        <item x="348"/>
        <item x="512"/>
        <item x="38"/>
        <item x="235"/>
        <item x="321"/>
        <item x="521"/>
        <item x="443"/>
        <item x="505"/>
        <item x="513"/>
        <item x="537"/>
        <item x="429"/>
        <item x="423"/>
        <item x="119"/>
        <item x="63"/>
        <item x="114"/>
        <item x="39"/>
        <item x="413"/>
        <item x="61"/>
        <item x="13"/>
        <item x="297"/>
        <item x="426"/>
        <item x="552"/>
        <item x="164"/>
        <item x="362"/>
        <item x="100"/>
        <item x="128"/>
        <item x="115"/>
        <item x="527"/>
        <item x="491"/>
        <item x="7"/>
        <item x="266"/>
        <item x="242"/>
        <item x="463"/>
        <item x="380"/>
        <item x="529"/>
        <item x="433"/>
        <item x="102"/>
        <item x="428"/>
        <item x="157"/>
        <item x="113"/>
        <item x="29"/>
        <item x="251"/>
        <item x="10"/>
        <item x="152"/>
        <item x="200"/>
        <item x="79"/>
        <item x="534"/>
        <item x="226"/>
        <item x="76"/>
        <item x="403"/>
        <item x="196"/>
        <item x="193"/>
        <item x="176"/>
        <item x="207"/>
        <item x="51"/>
        <item x="530"/>
        <item x="329"/>
        <item x="535"/>
        <item x="551"/>
        <item x="549"/>
        <item x="27"/>
        <item x="487"/>
        <item x="247"/>
        <item x="451"/>
        <item x="504"/>
        <item x="503"/>
        <item x="26"/>
        <item x="94"/>
        <item x="289"/>
        <item x="225"/>
        <item x="316"/>
        <item x="141"/>
        <item x="395"/>
        <item x="496"/>
        <item x="5"/>
        <item x="338"/>
        <item x="229"/>
        <item x="2"/>
        <item x="145"/>
        <item x="75"/>
        <item x="476"/>
        <item x="224"/>
        <item x="249"/>
        <item x="244"/>
        <item x="438"/>
        <item x="64"/>
        <item x="420"/>
        <item x="293"/>
        <item x="250"/>
        <item x="173"/>
        <item x="213"/>
        <item x="281"/>
        <item x="271"/>
        <item x="181"/>
        <item x="117"/>
        <item x="142"/>
        <item x="285"/>
        <item x="255"/>
        <item x="292"/>
        <item x="50"/>
        <item x="479"/>
        <item x="347"/>
        <item x="109"/>
        <item x="17"/>
        <item x="284"/>
        <item x="304"/>
        <item x="144"/>
        <item x="412"/>
        <item x="44"/>
        <item x="99"/>
        <item x="240"/>
        <item x="35"/>
        <item x="270"/>
        <item x="183"/>
        <item x="218"/>
        <item x="222"/>
        <item x="111"/>
        <item x="162"/>
        <item x="73"/>
        <item x="394"/>
        <item x="168"/>
        <item x="345"/>
        <item x="169"/>
        <item x="343"/>
        <item x="397"/>
        <item x="448"/>
        <item x="422"/>
        <item x="312"/>
        <item x="9"/>
        <item t="default"/>
      </items>
    </pivotField>
    <pivotField showAll="0">
      <items count="623">
        <item x="603"/>
        <item x="160"/>
        <item x="158"/>
        <item x="45"/>
        <item x="299"/>
        <item x="178"/>
        <item x="511"/>
        <item x="591"/>
        <item x="460"/>
        <item x="474"/>
        <item x="424"/>
        <item x="610"/>
        <item x="426"/>
        <item x="396"/>
        <item x="419"/>
        <item x="461"/>
        <item x="494"/>
        <item x="135"/>
        <item x="130"/>
        <item x="568"/>
        <item x="520"/>
        <item x="420"/>
        <item x="388"/>
        <item x="596"/>
        <item x="279"/>
        <item x="553"/>
        <item x="545"/>
        <item x="344"/>
        <item x="97"/>
        <item x="239"/>
        <item x="440"/>
        <item x="377"/>
        <item x="296"/>
        <item x="583"/>
        <item x="38"/>
        <item x="334"/>
        <item x="449"/>
        <item x="549"/>
        <item x="537"/>
        <item x="559"/>
        <item x="464"/>
        <item x="125"/>
        <item x="469"/>
        <item x="234"/>
        <item x="378"/>
        <item x="580"/>
        <item x="547"/>
        <item x="504"/>
        <item x="410"/>
        <item x="108"/>
        <item x="121"/>
        <item x="371"/>
        <item x="324"/>
        <item x="478"/>
        <item x="77"/>
        <item x="28"/>
        <item x="414"/>
        <item x="196"/>
        <item x="197"/>
        <item x="129"/>
        <item x="204"/>
        <item x="192"/>
        <item x="131"/>
        <item x="132"/>
        <item x="246"/>
        <item x="567"/>
        <item x="487"/>
        <item x="113"/>
        <item x="248"/>
        <item x="402"/>
        <item x="473"/>
        <item x="592"/>
        <item x="193"/>
        <item x="95"/>
        <item x="219"/>
        <item x="501"/>
        <item x="384"/>
        <item x="168"/>
        <item x="57"/>
        <item x="401"/>
        <item x="527"/>
        <item x="34"/>
        <item x="9"/>
        <item x="472"/>
        <item x="593"/>
        <item x="270"/>
        <item x="579"/>
        <item x="375"/>
        <item x="54"/>
        <item x="180"/>
        <item x="441"/>
        <item x="457"/>
        <item x="466"/>
        <item x="20"/>
        <item x="381"/>
        <item x="515"/>
        <item x="275"/>
        <item x="161"/>
        <item x="73"/>
        <item x="575"/>
        <item x="203"/>
        <item x="190"/>
        <item x="0"/>
        <item x="490"/>
        <item x="398"/>
        <item x="140"/>
        <item x="33"/>
        <item x="232"/>
        <item x="70"/>
        <item x="24"/>
        <item x="65"/>
        <item x="544"/>
        <item x="273"/>
        <item x="458"/>
        <item x="561"/>
        <item x="413"/>
        <item x="417"/>
        <item x="428"/>
        <item x="438"/>
        <item x="422"/>
        <item x="432"/>
        <item x="612"/>
        <item x="598"/>
        <item x="1"/>
        <item x="201"/>
        <item x="44"/>
        <item x="565"/>
        <item x="165"/>
        <item x="159"/>
        <item x="451"/>
        <item x="463"/>
        <item x="483"/>
        <item x="534"/>
        <item x="572"/>
        <item x="608"/>
        <item x="295"/>
        <item x="597"/>
        <item x="383"/>
        <item x="448"/>
        <item x="78"/>
        <item x="350"/>
        <item x="408"/>
        <item x="93"/>
        <item x="48"/>
        <item x="69"/>
        <item x="335"/>
        <item x="391"/>
        <item x="241"/>
        <item x="605"/>
        <item x="415"/>
        <item x="576"/>
        <item x="418"/>
        <item x="574"/>
        <item x="601"/>
        <item x="621"/>
        <item x="138"/>
        <item x="217"/>
        <item x="251"/>
        <item x="85"/>
        <item x="68"/>
        <item x="188"/>
        <item x="10"/>
        <item x="18"/>
        <item x="560"/>
        <item x="532"/>
        <item x="61"/>
        <item x="194"/>
        <item x="64"/>
        <item x="259"/>
        <item x="237"/>
        <item x="260"/>
        <item x="115"/>
        <item x="528"/>
        <item x="552"/>
        <item x="536"/>
        <item x="289"/>
        <item x="89"/>
        <item x="148"/>
        <item x="337"/>
        <item x="329"/>
        <item x="338"/>
        <item x="300"/>
        <item x="470"/>
        <item x="233"/>
        <item x="39"/>
        <item x="315"/>
        <item x="456"/>
        <item x="450"/>
        <item x="569"/>
        <item x="144"/>
        <item x="434"/>
        <item x="609"/>
        <item x="331"/>
        <item x="287"/>
        <item x="252"/>
        <item x="111"/>
        <item x="118"/>
        <item x="468"/>
        <item x="379"/>
        <item x="30"/>
        <item x="517"/>
        <item x="484"/>
        <item x="264"/>
        <item x="370"/>
        <item x="126"/>
        <item x="611"/>
        <item x="62"/>
        <item x="588"/>
        <item x="183"/>
        <item x="151"/>
        <item x="27"/>
        <item x="128"/>
        <item x="492"/>
        <item x="513"/>
        <item x="506"/>
        <item x="499"/>
        <item x="7"/>
        <item x="214"/>
        <item x="509"/>
        <item x="110"/>
        <item x="312"/>
        <item x="282"/>
        <item x="245"/>
        <item x="309"/>
        <item x="387"/>
        <item x="298"/>
        <item x="314"/>
        <item x="156"/>
        <item x="36"/>
        <item x="47"/>
        <item x="155"/>
        <item x="584"/>
        <item x="211"/>
        <item x="216"/>
        <item x="60"/>
        <item x="471"/>
        <item x="247"/>
        <item x="179"/>
        <item x="531"/>
        <item x="56"/>
        <item x="348"/>
        <item x="455"/>
        <item x="429"/>
        <item x="292"/>
        <item x="200"/>
        <item x="423"/>
        <item x="206"/>
        <item x="489"/>
        <item x="485"/>
        <item x="412"/>
        <item x="212"/>
        <item x="15"/>
        <item x="550"/>
        <item x="235"/>
        <item x="254"/>
        <item x="109"/>
        <item x="265"/>
        <item x="145"/>
        <item x="436"/>
        <item x="452"/>
        <item x="267"/>
        <item x="308"/>
        <item x="236"/>
        <item x="529"/>
        <item x="582"/>
        <item x="84"/>
        <item x="462"/>
        <item x="405"/>
        <item x="573"/>
        <item x="343"/>
        <item x="406"/>
        <item x="13"/>
        <item x="181"/>
        <item x="564"/>
        <item x="587"/>
        <item x="187"/>
        <item x="435"/>
        <item x="152"/>
        <item x="425"/>
        <item x="154"/>
        <item x="157"/>
        <item x="523"/>
        <item x="8"/>
        <item x="271"/>
        <item x="409"/>
        <item x="29"/>
        <item x="184"/>
        <item x="191"/>
        <item x="202"/>
        <item x="433"/>
        <item x="590"/>
        <item x="133"/>
        <item x="153"/>
        <item x="238"/>
        <item x="394"/>
        <item x="615"/>
        <item x="302"/>
        <item x="297"/>
        <item x="374"/>
        <item x="311"/>
        <item x="4"/>
        <item x="539"/>
        <item x="346"/>
        <item x="361"/>
        <item x="26"/>
        <item x="215"/>
        <item x="439"/>
        <item x="146"/>
        <item x="63"/>
        <item x="66"/>
        <item x="395"/>
        <item x="467"/>
        <item x="14"/>
        <item x="12"/>
        <item x="87"/>
        <item x="86"/>
        <item x="35"/>
        <item x="81"/>
        <item x="141"/>
        <item x="345"/>
        <item x="83"/>
        <item x="272"/>
        <item x="341"/>
        <item x="430"/>
        <item x="376"/>
        <item x="50"/>
        <item x="278"/>
        <item x="100"/>
        <item x="40"/>
        <item x="207"/>
        <item x="393"/>
        <item x="503"/>
        <item x="479"/>
        <item x="356"/>
        <item x="437"/>
        <item x="427"/>
        <item x="421"/>
        <item x="431"/>
        <item x="465"/>
        <item x="304"/>
        <item x="618"/>
        <item x="122"/>
        <item x="614"/>
        <item x="198"/>
        <item x="244"/>
        <item x="392"/>
        <item x="332"/>
        <item x="619"/>
        <item x="127"/>
        <item x="261"/>
        <item x="416"/>
        <item x="607"/>
        <item x="366"/>
        <item x="538"/>
        <item x="496"/>
        <item x="447"/>
        <item x="475"/>
        <item x="535"/>
        <item x="613"/>
        <item x="351"/>
        <item x="522"/>
        <item x="581"/>
        <item x="554"/>
        <item x="512"/>
        <item x="352"/>
        <item x="589"/>
        <item x="606"/>
        <item x="459"/>
        <item x="453"/>
        <item x="566"/>
        <item x="542"/>
        <item x="558"/>
        <item x="443"/>
        <item x="498"/>
        <item x="530"/>
        <item x="340"/>
        <item x="599"/>
        <item x="491"/>
        <item x="505"/>
        <item x="519"/>
        <item x="518"/>
        <item x="551"/>
        <item x="526"/>
        <item x="164"/>
        <item x="120"/>
        <item x="162"/>
        <item x="602"/>
        <item x="347"/>
        <item x="342"/>
        <item x="281"/>
        <item x="101"/>
        <item x="548"/>
        <item x="221"/>
        <item x="71"/>
        <item x="317"/>
        <item x="446"/>
        <item x="497"/>
        <item x="42"/>
        <item x="333"/>
        <item x="6"/>
        <item x="389"/>
        <item x="16"/>
        <item x="330"/>
        <item x="521"/>
        <item x="55"/>
        <item x="175"/>
        <item x="226"/>
        <item x="563"/>
        <item x="301"/>
        <item x="170"/>
        <item x="105"/>
        <item x="353"/>
        <item x="277"/>
        <item x="163"/>
        <item x="316"/>
        <item x="22"/>
        <item x="52"/>
        <item x="136"/>
        <item x="123"/>
        <item x="32"/>
        <item x="268"/>
        <item x="323"/>
        <item x="540"/>
        <item x="134"/>
        <item x="514"/>
        <item x="92"/>
        <item x="325"/>
        <item x="276"/>
        <item x="98"/>
        <item x="541"/>
        <item x="11"/>
        <item x="477"/>
        <item x="354"/>
        <item x="481"/>
        <item x="382"/>
        <item x="288"/>
        <item x="411"/>
        <item x="516"/>
        <item x="230"/>
        <item x="318"/>
        <item x="218"/>
        <item x="225"/>
        <item x="228"/>
        <item x="358"/>
        <item x="213"/>
        <item x="90"/>
        <item x="173"/>
        <item x="507"/>
        <item x="169"/>
        <item x="524"/>
        <item x="43"/>
        <item x="362"/>
        <item x="250"/>
        <item x="143"/>
        <item x="274"/>
        <item x="556"/>
        <item x="58"/>
        <item x="240"/>
        <item x="442"/>
        <item x="210"/>
        <item x="137"/>
        <item x="360"/>
        <item x="364"/>
        <item x="88"/>
        <item x="313"/>
        <item x="229"/>
        <item x="365"/>
        <item x="586"/>
        <item x="139"/>
        <item x="102"/>
        <item x="222"/>
        <item x="403"/>
        <item x="290"/>
        <item x="284"/>
        <item x="25"/>
        <item x="220"/>
        <item x="562"/>
        <item x="176"/>
        <item x="445"/>
        <item x="280"/>
        <item x="380"/>
        <item x="339"/>
        <item x="49"/>
        <item x="51"/>
        <item x="116"/>
        <item x="570"/>
        <item x="3"/>
        <item x="19"/>
        <item x="327"/>
        <item x="99"/>
        <item x="399"/>
        <item x="500"/>
        <item x="407"/>
        <item x="167"/>
        <item x="253"/>
        <item x="363"/>
        <item x="174"/>
        <item x="257"/>
        <item x="80"/>
        <item x="263"/>
        <item x="75"/>
        <item x="286"/>
        <item x="578"/>
        <item x="107"/>
        <item x="585"/>
        <item x="571"/>
        <item x="533"/>
        <item x="502"/>
        <item x="59"/>
        <item x="326"/>
        <item x="23"/>
        <item x="307"/>
        <item x="31"/>
        <item x="373"/>
        <item x="404"/>
        <item x="349"/>
        <item x="390"/>
        <item x="91"/>
        <item x="397"/>
        <item x="368"/>
        <item x="242"/>
        <item x="322"/>
        <item x="243"/>
        <item x="577"/>
        <item x="262"/>
        <item x="223"/>
        <item x="117"/>
        <item x="495"/>
        <item x="555"/>
        <item x="372"/>
        <item x="285"/>
        <item x="355"/>
        <item x="124"/>
        <item x="119"/>
        <item x="525"/>
        <item x="486"/>
        <item x="104"/>
        <item x="255"/>
        <item x="476"/>
        <item x="493"/>
        <item x="106"/>
        <item x="319"/>
        <item x="303"/>
        <item x="269"/>
        <item x="488"/>
        <item x="171"/>
        <item x="306"/>
        <item x="166"/>
        <item x="231"/>
        <item x="82"/>
        <item x="594"/>
        <item x="227"/>
        <item x="224"/>
        <item x="53"/>
        <item x="386"/>
        <item x="595"/>
        <item x="617"/>
        <item x="74"/>
        <item x="266"/>
        <item x="208"/>
        <item x="369"/>
        <item x="357"/>
        <item x="359"/>
        <item x="557"/>
        <item x="5"/>
        <item x="2"/>
        <item x="283"/>
        <item x="67"/>
        <item x="480"/>
        <item x="305"/>
        <item x="142"/>
        <item x="199"/>
        <item x="310"/>
        <item x="114"/>
        <item x="17"/>
        <item x="328"/>
        <item x="46"/>
        <item x="103"/>
        <item x="41"/>
        <item x="37"/>
        <item x="72"/>
        <item x="249"/>
        <item x="256"/>
        <item x="96"/>
        <item x="209"/>
        <item x="76"/>
        <item x="508"/>
        <item x="482"/>
        <item x="367"/>
        <item x="444"/>
        <item x="321"/>
        <item x="258"/>
        <item x="400"/>
        <item x="79"/>
        <item x="172"/>
        <item x="294"/>
        <item x="620"/>
        <item x="600"/>
        <item x="21"/>
        <item x="336"/>
        <item x="546"/>
        <item x="616"/>
        <item x="510"/>
        <item x="604"/>
        <item x="543"/>
        <item x="147"/>
        <item x="293"/>
        <item x="94"/>
        <item x="320"/>
        <item x="385"/>
        <item x="150"/>
        <item x="149"/>
        <item x="291"/>
        <item x="112"/>
        <item x="454"/>
        <item x="185"/>
        <item x="186"/>
        <item x="205"/>
        <item x="195"/>
        <item x="189"/>
        <item x="177"/>
        <item x="182"/>
        <item t="default"/>
      </items>
    </pivotField>
    <pivotField showAll="0">
      <items count="93">
        <item x="19"/>
        <item x="63"/>
        <item x="50"/>
        <item x="24"/>
        <item x="6"/>
        <item x="11"/>
        <item x="18"/>
        <item x="68"/>
        <item x="15"/>
        <item x="2"/>
        <item x="59"/>
        <item x="21"/>
        <item x="67"/>
        <item x="32"/>
        <item x="60"/>
        <item x="12"/>
        <item x="66"/>
        <item x="0"/>
        <item x="53"/>
        <item x="64"/>
        <item x="86"/>
        <item x="56"/>
        <item x="43"/>
        <item x="49"/>
        <item x="48"/>
        <item x="14"/>
        <item x="44"/>
        <item x="1"/>
        <item x="54"/>
        <item x="91"/>
        <item x="37"/>
        <item x="90"/>
        <item x="89"/>
        <item x="46"/>
        <item x="61"/>
        <item x="13"/>
        <item x="58"/>
        <item x="57"/>
        <item x="34"/>
        <item x="27"/>
        <item x="88"/>
        <item x="87"/>
        <item x="25"/>
        <item x="70"/>
        <item x="3"/>
        <item x="81"/>
        <item x="82"/>
        <item x="85"/>
        <item x="75"/>
        <item x="38"/>
        <item x="7"/>
        <item x="79"/>
        <item x="52"/>
        <item x="20"/>
        <item x="72"/>
        <item x="5"/>
        <item x="65"/>
        <item x="40"/>
        <item x="41"/>
        <item x="36"/>
        <item x="8"/>
        <item x="84"/>
        <item x="16"/>
        <item x="69"/>
        <item x="77"/>
        <item x="22"/>
        <item x="4"/>
        <item x="73"/>
        <item x="26"/>
        <item x="28"/>
        <item x="33"/>
        <item x="71"/>
        <item x="29"/>
        <item x="80"/>
        <item x="9"/>
        <item x="23"/>
        <item x="35"/>
        <item x="31"/>
        <item x="74"/>
        <item x="76"/>
        <item x="30"/>
        <item x="47"/>
        <item x="62"/>
        <item x="17"/>
        <item x="42"/>
        <item x="39"/>
        <item x="51"/>
        <item x="45"/>
        <item x="83"/>
        <item x="10"/>
        <item x="78"/>
        <item x="55"/>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dataField="1" showAll="0"/>
  </pivotFields>
  <rowFields count="1">
    <field x="0"/>
  </rowFields>
  <rowItems count="11">
    <i>
      <x v="68"/>
    </i>
    <i>
      <x v="2"/>
    </i>
    <i>
      <x v="65"/>
    </i>
    <i>
      <x v="9"/>
    </i>
    <i>
      <x v="53"/>
    </i>
    <i>
      <x v="41"/>
    </i>
    <i>
      <x v="42"/>
    </i>
    <i>
      <x v="64"/>
    </i>
    <i>
      <x v="31"/>
    </i>
    <i>
      <x v="21"/>
    </i>
    <i t="grand">
      <x/>
    </i>
  </rowItems>
  <colItems count="1">
    <i/>
  </colItems>
  <dataFields count="1">
    <dataField name="Sum of Total_Study_Cost" fld="13" baseField="0" baseItem="0" numFmtId="164"/>
  </dataFields>
  <formats count="2">
    <format dxfId="3">
      <pivotArea field="0" type="button" dataOnly="0" labelOnly="1" outline="0" axis="axisRow" fieldPosition="0"/>
    </format>
    <format dxfId="2">
      <pivotArea outline="0" fieldPosition="0">
        <references count="1">
          <reference field="4294967294" count="1">
            <x v="0"/>
          </reference>
        </references>
      </pivotArea>
    </format>
  </formats>
  <chartFormats count="11">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0" count="1" selected="0">
            <x v="2"/>
          </reference>
        </references>
      </pivotArea>
    </chartFormat>
    <chartFormat chart="21" format="4">
      <pivotArea type="data" outline="0" fieldPosition="0">
        <references count="2">
          <reference field="4294967294" count="1" selected="0">
            <x v="0"/>
          </reference>
          <reference field="0" count="1" selected="0">
            <x v="65"/>
          </reference>
        </references>
      </pivotArea>
    </chartFormat>
    <chartFormat chart="21" format="5">
      <pivotArea type="data" outline="0" fieldPosition="0">
        <references count="2">
          <reference field="4294967294" count="1" selected="0">
            <x v="0"/>
          </reference>
          <reference field="0" count="1" selected="0">
            <x v="9"/>
          </reference>
        </references>
      </pivotArea>
    </chartFormat>
    <chartFormat chart="21" format="6">
      <pivotArea type="data" outline="0" fieldPosition="0">
        <references count="2">
          <reference field="4294967294" count="1" selected="0">
            <x v="0"/>
          </reference>
          <reference field="0" count="1" selected="0">
            <x v="53"/>
          </reference>
        </references>
      </pivotArea>
    </chartFormat>
    <chartFormat chart="21" format="7">
      <pivotArea type="data" outline="0" fieldPosition="0">
        <references count="2">
          <reference field="4294967294" count="1" selected="0">
            <x v="0"/>
          </reference>
          <reference field="0" count="1" selected="0">
            <x v="41"/>
          </reference>
        </references>
      </pivotArea>
    </chartFormat>
    <chartFormat chart="21" format="8">
      <pivotArea type="data" outline="0" fieldPosition="0">
        <references count="2">
          <reference field="4294967294" count="1" selected="0">
            <x v="0"/>
          </reference>
          <reference field="0" count="1" selected="0">
            <x v="42"/>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A4B6CE-E91E-4056-95CA-A8ACEF257BB8}"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7" firstHeaderRow="1" firstDataRow="1" firstDataCol="1"/>
  <pivotFields count="14">
    <pivotField showAll="0">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pivotField>
    <pivotField showAll="0">
      <items count="557">
        <item x="254"/>
        <item x="81"/>
        <item x="43"/>
        <item x="163"/>
        <item x="190"/>
        <item x="357"/>
        <item x="464"/>
        <item x="68"/>
        <item x="367"/>
        <item x="387"/>
        <item x="531"/>
        <item x="372"/>
        <item x="515"/>
        <item x="555"/>
        <item x="361"/>
        <item x="465"/>
        <item x="490"/>
        <item x="6"/>
        <item x="536"/>
        <item x="324"/>
        <item x="19"/>
        <item x="488"/>
        <item x="339"/>
        <item x="332"/>
        <item x="431"/>
        <item x="77"/>
        <item x="208"/>
        <item x="381"/>
        <item x="123"/>
        <item x="243"/>
        <item x="20"/>
        <item x="16"/>
        <item x="21"/>
        <item x="279"/>
        <item x="230"/>
        <item x="90"/>
        <item x="392"/>
        <item x="42"/>
        <item x="548"/>
        <item x="124"/>
        <item x="53"/>
        <item x="399"/>
        <item x="33"/>
        <item x="195"/>
        <item x="12"/>
        <item x="460"/>
        <item x="105"/>
        <item x="502"/>
        <item x="396"/>
        <item x="246"/>
        <item x="48"/>
        <item x="52"/>
        <item x="156"/>
        <item x="418"/>
        <item x="302"/>
        <item x="101"/>
        <item x="454"/>
        <item x="257"/>
        <item x="384"/>
        <item x="298"/>
        <item x="234"/>
        <item x="149"/>
        <item x="414"/>
        <item x="30"/>
        <item x="95"/>
        <item x="277"/>
        <item x="407"/>
        <item x="84"/>
        <item x="262"/>
        <item x="228"/>
        <item x="22"/>
        <item x="203"/>
        <item x="18"/>
        <item x="405"/>
        <item x="385"/>
        <item x="323"/>
        <item x="131"/>
        <item x="520"/>
        <item x="486"/>
        <item x="335"/>
        <item x="15"/>
        <item x="468"/>
        <item x="130"/>
        <item x="118"/>
        <item x="393"/>
        <item x="0"/>
        <item x="358"/>
        <item x="36"/>
        <item x="480"/>
        <item x="129"/>
        <item x="104"/>
        <item x="415"/>
        <item x="430"/>
        <item x="533"/>
        <item x="319"/>
        <item x="170"/>
        <item x="364"/>
        <item x="177"/>
        <item x="356"/>
        <item x="89"/>
        <item x="458"/>
        <item x="350"/>
        <item x="489"/>
        <item x="506"/>
        <item x="273"/>
        <item x="390"/>
        <item x="275"/>
        <item x="186"/>
        <item x="233"/>
        <item x="182"/>
        <item x="411"/>
        <item x="481"/>
        <item x="11"/>
        <item x="432"/>
        <item x="236"/>
        <item x="187"/>
        <item x="215"/>
        <item x="417"/>
        <item x="475"/>
        <item x="445"/>
        <item x="546"/>
        <item x="171"/>
        <item x="46"/>
        <item x="547"/>
        <item x="83"/>
        <item x="74"/>
        <item x="474"/>
        <item x="97"/>
        <item x="217"/>
        <item x="326"/>
        <item x="34"/>
        <item x="359"/>
        <item x="419"/>
        <item x="239"/>
        <item x="541"/>
        <item x="498"/>
        <item x="408"/>
        <item x="532"/>
        <item x="320"/>
        <item x="78"/>
        <item x="125"/>
        <item x="14"/>
        <item x="456"/>
        <item x="199"/>
        <item x="276"/>
        <item x="92"/>
        <item x="188"/>
        <item x="40"/>
        <item x="136"/>
        <item x="137"/>
        <item x="263"/>
        <item x="391"/>
        <item x="331"/>
        <item x="245"/>
        <item x="194"/>
        <item x="197"/>
        <item x="441"/>
        <item x="282"/>
        <item x="437"/>
        <item x="303"/>
        <item x="373"/>
        <item x="232"/>
        <item x="87"/>
        <item x="159"/>
        <item x="382"/>
        <item x="62"/>
        <item x="286"/>
        <item x="447"/>
        <item x="184"/>
        <item x="45"/>
        <item x="406"/>
        <item x="155"/>
        <item x="325"/>
        <item x="455"/>
        <item x="366"/>
        <item x="260"/>
        <item x="41"/>
        <item x="70"/>
        <item x="274"/>
        <item x="307"/>
        <item x="290"/>
        <item x="219"/>
        <item x="147"/>
        <item x="138"/>
        <item x="296"/>
        <item x="167"/>
        <item x="467"/>
        <item x="172"/>
        <item x="337"/>
        <item x="398"/>
        <item x="108"/>
        <item x="80"/>
        <item x="106"/>
        <item x="165"/>
        <item x="86"/>
        <item x="341"/>
        <item x="370"/>
        <item x="507"/>
        <item x="32"/>
        <item x="56"/>
        <item x="299"/>
        <item x="201"/>
        <item x="269"/>
        <item x="67"/>
        <item x="495"/>
        <item x="135"/>
        <item x="71"/>
        <item x="24"/>
        <item x="267"/>
        <item x="209"/>
        <item x="369"/>
        <item x="401"/>
        <item x="175"/>
        <item x="305"/>
        <item x="309"/>
        <item x="477"/>
        <item x="511"/>
        <item x="120"/>
        <item x="127"/>
        <item x="328"/>
        <item x="132"/>
        <item x="539"/>
        <item x="85"/>
        <item x="268"/>
        <item x="540"/>
        <item x="483"/>
        <item x="258"/>
        <item x="66"/>
        <item x="379"/>
        <item x="82"/>
        <item x="283"/>
        <item x="416"/>
        <item x="344"/>
        <item x="334"/>
        <item x="352"/>
        <item x="210"/>
        <item x="198"/>
        <item x="516"/>
        <item x="360"/>
        <item x="514"/>
        <item x="220"/>
        <item x="402"/>
        <item x="310"/>
        <item x="65"/>
        <item x="259"/>
        <item x="349"/>
        <item x="404"/>
        <item x="517"/>
        <item x="526"/>
        <item x="389"/>
        <item x="264"/>
        <item x="47"/>
        <item x="542"/>
        <item x="472"/>
        <item x="265"/>
        <item x="499"/>
        <item x="500"/>
        <item x="59"/>
        <item x="497"/>
        <item x="446"/>
        <item x="436"/>
        <item x="134"/>
        <item x="206"/>
        <item x="261"/>
        <item x="434"/>
        <item x="154"/>
        <item x="98"/>
        <item x="191"/>
        <item x="143"/>
        <item x="315"/>
        <item x="322"/>
        <item x="346"/>
        <item x="150"/>
        <item x="425"/>
        <item x="427"/>
        <item x="237"/>
        <item x="278"/>
        <item x="295"/>
        <item x="25"/>
        <item x="231"/>
        <item x="189"/>
        <item x="501"/>
        <item x="410"/>
        <item x="482"/>
        <item x="1"/>
        <item x="107"/>
        <item x="180"/>
        <item x="202"/>
        <item x="336"/>
        <item x="161"/>
        <item x="158"/>
        <item x="37"/>
        <item x="386"/>
        <item x="508"/>
        <item x="256"/>
        <item x="146"/>
        <item x="139"/>
        <item x="93"/>
        <item x="287"/>
        <item x="553"/>
        <item x="409"/>
        <item x="478"/>
        <item x="461"/>
        <item x="49"/>
        <item x="376"/>
        <item x="509"/>
        <item x="444"/>
        <item x="545"/>
        <item x="519"/>
        <item x="238"/>
        <item x="388"/>
        <item x="543"/>
        <item x="550"/>
        <item x="3"/>
        <item x="453"/>
        <item x="311"/>
        <item x="122"/>
        <item x="54"/>
        <item x="96"/>
        <item x="342"/>
        <item x="544"/>
        <item x="440"/>
        <item x="223"/>
        <item x="351"/>
        <item x="291"/>
        <item x="462"/>
        <item x="153"/>
        <item x="221"/>
        <item x="121"/>
        <item x="492"/>
        <item x="355"/>
        <item x="4"/>
        <item x="60"/>
        <item x="375"/>
        <item x="528"/>
        <item x="166"/>
        <item x="308"/>
        <item x="91"/>
        <item x="160"/>
        <item x="178"/>
        <item x="126"/>
        <item x="72"/>
        <item x="148"/>
        <item x="421"/>
        <item x="140"/>
        <item x="554"/>
        <item x="518"/>
        <item x="214"/>
        <item x="103"/>
        <item x="525"/>
        <item x="510"/>
        <item x="330"/>
        <item x="248"/>
        <item x="524"/>
        <item x="473"/>
        <item x="58"/>
        <item x="442"/>
        <item x="57"/>
        <item x="23"/>
        <item x="457"/>
        <item x="252"/>
        <item x="31"/>
        <item x="216"/>
        <item x="318"/>
        <item x="280"/>
        <item x="466"/>
        <item x="449"/>
        <item x="8"/>
        <item x="294"/>
        <item x="493"/>
        <item x="333"/>
        <item x="538"/>
        <item x="69"/>
        <item x="88"/>
        <item x="365"/>
        <item x="340"/>
        <item x="313"/>
        <item x="116"/>
        <item x="452"/>
        <item x="471"/>
        <item x="211"/>
        <item x="174"/>
        <item x="371"/>
        <item x="241"/>
        <item x="272"/>
        <item x="363"/>
        <item x="212"/>
        <item x="400"/>
        <item x="28"/>
        <item x="227"/>
        <item x="179"/>
        <item x="301"/>
        <item x="450"/>
        <item x="374"/>
        <item x="110"/>
        <item x="204"/>
        <item x="306"/>
        <item x="459"/>
        <item x="424"/>
        <item x="522"/>
        <item x="185"/>
        <item x="377"/>
        <item x="192"/>
        <item x="368"/>
        <item x="112"/>
        <item x="151"/>
        <item x="383"/>
        <item x="314"/>
        <item x="469"/>
        <item x="435"/>
        <item x="354"/>
        <item x="485"/>
        <item x="133"/>
        <item x="288"/>
        <item x="439"/>
        <item x="253"/>
        <item x="353"/>
        <item x="55"/>
        <item x="205"/>
        <item x="494"/>
        <item x="327"/>
        <item x="484"/>
        <item x="317"/>
        <item x="523"/>
        <item x="470"/>
        <item x="378"/>
        <item x="300"/>
        <item x="348"/>
        <item x="512"/>
        <item x="38"/>
        <item x="235"/>
        <item x="321"/>
        <item x="521"/>
        <item x="443"/>
        <item x="505"/>
        <item x="513"/>
        <item x="537"/>
        <item x="429"/>
        <item x="423"/>
        <item x="119"/>
        <item x="63"/>
        <item x="114"/>
        <item x="39"/>
        <item x="413"/>
        <item x="61"/>
        <item x="13"/>
        <item x="297"/>
        <item x="426"/>
        <item x="552"/>
        <item x="164"/>
        <item x="362"/>
        <item x="100"/>
        <item x="128"/>
        <item x="115"/>
        <item x="527"/>
        <item x="491"/>
        <item x="7"/>
        <item x="266"/>
        <item x="242"/>
        <item x="463"/>
        <item x="380"/>
        <item x="529"/>
        <item x="433"/>
        <item x="102"/>
        <item x="428"/>
        <item x="157"/>
        <item x="113"/>
        <item x="29"/>
        <item x="251"/>
        <item x="10"/>
        <item x="152"/>
        <item x="200"/>
        <item x="79"/>
        <item x="534"/>
        <item x="226"/>
        <item x="76"/>
        <item x="403"/>
        <item x="196"/>
        <item x="193"/>
        <item x="176"/>
        <item x="207"/>
        <item x="51"/>
        <item x="530"/>
        <item x="329"/>
        <item x="535"/>
        <item x="551"/>
        <item x="549"/>
        <item x="27"/>
        <item x="487"/>
        <item x="247"/>
        <item x="451"/>
        <item x="504"/>
        <item x="503"/>
        <item x="26"/>
        <item x="94"/>
        <item x="289"/>
        <item x="225"/>
        <item x="316"/>
        <item x="141"/>
        <item x="395"/>
        <item x="496"/>
        <item x="5"/>
        <item x="338"/>
        <item x="229"/>
        <item x="2"/>
        <item x="145"/>
        <item x="75"/>
        <item x="476"/>
        <item x="224"/>
        <item x="249"/>
        <item x="244"/>
        <item x="438"/>
        <item x="64"/>
        <item x="420"/>
        <item x="293"/>
        <item x="250"/>
        <item x="173"/>
        <item x="213"/>
        <item x="281"/>
        <item x="271"/>
        <item x="181"/>
        <item x="117"/>
        <item x="142"/>
        <item x="285"/>
        <item x="255"/>
        <item x="292"/>
        <item x="50"/>
        <item x="479"/>
        <item x="347"/>
        <item x="109"/>
        <item x="17"/>
        <item x="284"/>
        <item x="304"/>
        <item x="144"/>
        <item x="412"/>
        <item x="44"/>
        <item x="99"/>
        <item x="240"/>
        <item x="35"/>
        <item x="270"/>
        <item x="183"/>
        <item x="218"/>
        <item x="222"/>
        <item x="111"/>
        <item x="162"/>
        <item x="73"/>
        <item x="394"/>
        <item x="168"/>
        <item x="345"/>
        <item x="169"/>
        <item x="343"/>
        <item x="397"/>
        <item x="448"/>
        <item x="422"/>
        <item x="312"/>
        <item x="9"/>
        <item t="default"/>
      </items>
    </pivotField>
    <pivotField showAll="0">
      <items count="623">
        <item x="603"/>
        <item x="160"/>
        <item x="158"/>
        <item x="45"/>
        <item x="299"/>
        <item x="178"/>
        <item x="511"/>
        <item x="591"/>
        <item x="460"/>
        <item x="474"/>
        <item x="424"/>
        <item x="610"/>
        <item x="426"/>
        <item x="396"/>
        <item x="419"/>
        <item x="461"/>
        <item x="494"/>
        <item x="135"/>
        <item x="130"/>
        <item x="568"/>
        <item x="520"/>
        <item x="420"/>
        <item x="388"/>
        <item x="596"/>
        <item x="279"/>
        <item x="553"/>
        <item x="545"/>
        <item x="344"/>
        <item x="97"/>
        <item x="239"/>
        <item x="440"/>
        <item x="377"/>
        <item x="296"/>
        <item x="583"/>
        <item x="38"/>
        <item x="334"/>
        <item x="449"/>
        <item x="549"/>
        <item x="537"/>
        <item x="559"/>
        <item x="464"/>
        <item x="125"/>
        <item x="469"/>
        <item x="234"/>
        <item x="378"/>
        <item x="580"/>
        <item x="547"/>
        <item x="504"/>
        <item x="410"/>
        <item x="108"/>
        <item x="121"/>
        <item x="371"/>
        <item x="324"/>
        <item x="478"/>
        <item x="77"/>
        <item x="28"/>
        <item x="414"/>
        <item x="196"/>
        <item x="197"/>
        <item x="129"/>
        <item x="204"/>
        <item x="192"/>
        <item x="131"/>
        <item x="132"/>
        <item x="246"/>
        <item x="567"/>
        <item x="487"/>
        <item x="113"/>
        <item x="248"/>
        <item x="402"/>
        <item x="473"/>
        <item x="592"/>
        <item x="193"/>
        <item x="95"/>
        <item x="219"/>
        <item x="501"/>
        <item x="384"/>
        <item x="168"/>
        <item x="57"/>
        <item x="401"/>
        <item x="527"/>
        <item x="34"/>
        <item x="9"/>
        <item x="472"/>
        <item x="593"/>
        <item x="270"/>
        <item x="579"/>
        <item x="375"/>
        <item x="54"/>
        <item x="180"/>
        <item x="441"/>
        <item x="457"/>
        <item x="466"/>
        <item x="20"/>
        <item x="381"/>
        <item x="515"/>
        <item x="275"/>
        <item x="161"/>
        <item x="73"/>
        <item x="575"/>
        <item x="203"/>
        <item x="190"/>
        <item x="0"/>
        <item x="490"/>
        <item x="398"/>
        <item x="140"/>
        <item x="33"/>
        <item x="232"/>
        <item x="70"/>
        <item x="24"/>
        <item x="65"/>
        <item x="544"/>
        <item x="273"/>
        <item x="458"/>
        <item x="561"/>
        <item x="413"/>
        <item x="417"/>
        <item x="428"/>
        <item x="438"/>
        <item x="422"/>
        <item x="432"/>
        <item x="612"/>
        <item x="598"/>
        <item x="1"/>
        <item x="201"/>
        <item x="44"/>
        <item x="565"/>
        <item x="165"/>
        <item x="159"/>
        <item x="451"/>
        <item x="463"/>
        <item x="483"/>
        <item x="534"/>
        <item x="572"/>
        <item x="608"/>
        <item x="295"/>
        <item x="597"/>
        <item x="383"/>
        <item x="448"/>
        <item x="78"/>
        <item x="350"/>
        <item x="408"/>
        <item x="93"/>
        <item x="48"/>
        <item x="69"/>
        <item x="335"/>
        <item x="391"/>
        <item x="241"/>
        <item x="605"/>
        <item x="415"/>
        <item x="576"/>
        <item x="418"/>
        <item x="574"/>
        <item x="601"/>
        <item x="621"/>
        <item x="138"/>
        <item x="217"/>
        <item x="251"/>
        <item x="85"/>
        <item x="68"/>
        <item x="188"/>
        <item x="10"/>
        <item x="18"/>
        <item x="560"/>
        <item x="532"/>
        <item x="61"/>
        <item x="194"/>
        <item x="64"/>
        <item x="259"/>
        <item x="237"/>
        <item x="260"/>
        <item x="115"/>
        <item x="528"/>
        <item x="552"/>
        <item x="536"/>
        <item x="289"/>
        <item x="89"/>
        <item x="148"/>
        <item x="337"/>
        <item x="329"/>
        <item x="338"/>
        <item x="300"/>
        <item x="470"/>
        <item x="233"/>
        <item x="39"/>
        <item x="315"/>
        <item x="456"/>
        <item x="450"/>
        <item x="569"/>
        <item x="144"/>
        <item x="434"/>
        <item x="609"/>
        <item x="331"/>
        <item x="287"/>
        <item x="252"/>
        <item x="111"/>
        <item x="118"/>
        <item x="468"/>
        <item x="379"/>
        <item x="30"/>
        <item x="517"/>
        <item x="484"/>
        <item x="264"/>
        <item x="370"/>
        <item x="126"/>
        <item x="611"/>
        <item x="62"/>
        <item x="588"/>
        <item x="183"/>
        <item x="151"/>
        <item x="27"/>
        <item x="128"/>
        <item x="492"/>
        <item x="513"/>
        <item x="506"/>
        <item x="499"/>
        <item x="7"/>
        <item x="214"/>
        <item x="509"/>
        <item x="110"/>
        <item x="312"/>
        <item x="282"/>
        <item x="245"/>
        <item x="309"/>
        <item x="387"/>
        <item x="298"/>
        <item x="314"/>
        <item x="156"/>
        <item x="36"/>
        <item x="47"/>
        <item x="155"/>
        <item x="584"/>
        <item x="211"/>
        <item x="216"/>
        <item x="60"/>
        <item x="471"/>
        <item x="247"/>
        <item x="179"/>
        <item x="531"/>
        <item x="56"/>
        <item x="348"/>
        <item x="455"/>
        <item x="429"/>
        <item x="292"/>
        <item x="200"/>
        <item x="423"/>
        <item x="206"/>
        <item x="489"/>
        <item x="485"/>
        <item x="412"/>
        <item x="212"/>
        <item x="15"/>
        <item x="550"/>
        <item x="235"/>
        <item x="254"/>
        <item x="109"/>
        <item x="265"/>
        <item x="145"/>
        <item x="436"/>
        <item x="452"/>
        <item x="267"/>
        <item x="308"/>
        <item x="236"/>
        <item x="529"/>
        <item x="582"/>
        <item x="84"/>
        <item x="462"/>
        <item x="405"/>
        <item x="573"/>
        <item x="343"/>
        <item x="406"/>
        <item x="13"/>
        <item x="181"/>
        <item x="564"/>
        <item x="587"/>
        <item x="187"/>
        <item x="435"/>
        <item x="152"/>
        <item x="425"/>
        <item x="154"/>
        <item x="157"/>
        <item x="523"/>
        <item x="8"/>
        <item x="271"/>
        <item x="409"/>
        <item x="29"/>
        <item x="184"/>
        <item x="191"/>
        <item x="202"/>
        <item x="433"/>
        <item x="590"/>
        <item x="133"/>
        <item x="153"/>
        <item x="238"/>
        <item x="394"/>
        <item x="615"/>
        <item x="302"/>
        <item x="297"/>
        <item x="374"/>
        <item x="311"/>
        <item x="4"/>
        <item x="539"/>
        <item x="346"/>
        <item x="361"/>
        <item x="26"/>
        <item x="215"/>
        <item x="439"/>
        <item x="146"/>
        <item x="63"/>
        <item x="66"/>
        <item x="395"/>
        <item x="467"/>
        <item x="14"/>
        <item x="12"/>
        <item x="87"/>
        <item x="86"/>
        <item x="35"/>
        <item x="81"/>
        <item x="141"/>
        <item x="345"/>
        <item x="83"/>
        <item x="272"/>
        <item x="341"/>
        <item x="430"/>
        <item x="376"/>
        <item x="50"/>
        <item x="278"/>
        <item x="100"/>
        <item x="40"/>
        <item x="207"/>
        <item x="393"/>
        <item x="503"/>
        <item x="479"/>
        <item x="356"/>
        <item x="437"/>
        <item x="427"/>
        <item x="421"/>
        <item x="431"/>
        <item x="465"/>
        <item x="304"/>
        <item x="618"/>
        <item x="122"/>
        <item x="614"/>
        <item x="198"/>
        <item x="244"/>
        <item x="392"/>
        <item x="332"/>
        <item x="619"/>
        <item x="127"/>
        <item x="261"/>
        <item x="416"/>
        <item x="607"/>
        <item x="366"/>
        <item x="538"/>
        <item x="496"/>
        <item x="447"/>
        <item x="475"/>
        <item x="535"/>
        <item x="613"/>
        <item x="351"/>
        <item x="522"/>
        <item x="581"/>
        <item x="554"/>
        <item x="512"/>
        <item x="352"/>
        <item x="589"/>
        <item x="606"/>
        <item x="459"/>
        <item x="453"/>
        <item x="566"/>
        <item x="542"/>
        <item x="558"/>
        <item x="443"/>
        <item x="498"/>
        <item x="530"/>
        <item x="340"/>
        <item x="599"/>
        <item x="491"/>
        <item x="505"/>
        <item x="519"/>
        <item x="518"/>
        <item x="551"/>
        <item x="526"/>
        <item x="164"/>
        <item x="120"/>
        <item x="162"/>
        <item x="602"/>
        <item x="347"/>
        <item x="342"/>
        <item x="281"/>
        <item x="101"/>
        <item x="548"/>
        <item x="221"/>
        <item x="71"/>
        <item x="317"/>
        <item x="446"/>
        <item x="497"/>
        <item x="42"/>
        <item x="333"/>
        <item x="6"/>
        <item x="389"/>
        <item x="16"/>
        <item x="330"/>
        <item x="521"/>
        <item x="55"/>
        <item x="175"/>
        <item x="226"/>
        <item x="563"/>
        <item x="301"/>
        <item x="170"/>
        <item x="105"/>
        <item x="353"/>
        <item x="277"/>
        <item x="163"/>
        <item x="316"/>
        <item x="22"/>
        <item x="52"/>
        <item x="136"/>
        <item x="123"/>
        <item x="32"/>
        <item x="268"/>
        <item x="323"/>
        <item x="540"/>
        <item x="134"/>
        <item x="514"/>
        <item x="92"/>
        <item x="325"/>
        <item x="276"/>
        <item x="98"/>
        <item x="541"/>
        <item x="11"/>
        <item x="477"/>
        <item x="354"/>
        <item x="481"/>
        <item x="382"/>
        <item x="288"/>
        <item x="411"/>
        <item x="516"/>
        <item x="230"/>
        <item x="318"/>
        <item x="218"/>
        <item x="225"/>
        <item x="228"/>
        <item x="358"/>
        <item x="213"/>
        <item x="90"/>
        <item x="173"/>
        <item x="507"/>
        <item x="169"/>
        <item x="524"/>
        <item x="43"/>
        <item x="362"/>
        <item x="250"/>
        <item x="143"/>
        <item x="274"/>
        <item x="556"/>
        <item x="58"/>
        <item x="240"/>
        <item x="442"/>
        <item x="210"/>
        <item x="137"/>
        <item x="360"/>
        <item x="364"/>
        <item x="88"/>
        <item x="313"/>
        <item x="229"/>
        <item x="365"/>
        <item x="586"/>
        <item x="139"/>
        <item x="102"/>
        <item x="222"/>
        <item x="403"/>
        <item x="290"/>
        <item x="284"/>
        <item x="25"/>
        <item x="220"/>
        <item x="562"/>
        <item x="176"/>
        <item x="445"/>
        <item x="280"/>
        <item x="380"/>
        <item x="339"/>
        <item x="49"/>
        <item x="51"/>
        <item x="116"/>
        <item x="570"/>
        <item x="3"/>
        <item x="19"/>
        <item x="327"/>
        <item x="99"/>
        <item x="399"/>
        <item x="500"/>
        <item x="407"/>
        <item x="167"/>
        <item x="253"/>
        <item x="363"/>
        <item x="174"/>
        <item x="257"/>
        <item x="80"/>
        <item x="263"/>
        <item x="75"/>
        <item x="286"/>
        <item x="578"/>
        <item x="107"/>
        <item x="585"/>
        <item x="571"/>
        <item x="533"/>
        <item x="502"/>
        <item x="59"/>
        <item x="326"/>
        <item x="23"/>
        <item x="307"/>
        <item x="31"/>
        <item x="373"/>
        <item x="404"/>
        <item x="349"/>
        <item x="390"/>
        <item x="91"/>
        <item x="397"/>
        <item x="368"/>
        <item x="242"/>
        <item x="322"/>
        <item x="243"/>
        <item x="577"/>
        <item x="262"/>
        <item x="223"/>
        <item x="117"/>
        <item x="495"/>
        <item x="555"/>
        <item x="372"/>
        <item x="285"/>
        <item x="355"/>
        <item x="124"/>
        <item x="119"/>
        <item x="525"/>
        <item x="486"/>
        <item x="104"/>
        <item x="255"/>
        <item x="476"/>
        <item x="493"/>
        <item x="106"/>
        <item x="319"/>
        <item x="303"/>
        <item x="269"/>
        <item x="488"/>
        <item x="171"/>
        <item x="306"/>
        <item x="166"/>
        <item x="231"/>
        <item x="82"/>
        <item x="594"/>
        <item x="227"/>
        <item x="224"/>
        <item x="53"/>
        <item x="386"/>
        <item x="595"/>
        <item x="617"/>
        <item x="74"/>
        <item x="266"/>
        <item x="208"/>
        <item x="369"/>
        <item x="357"/>
        <item x="359"/>
        <item x="557"/>
        <item x="5"/>
        <item x="2"/>
        <item x="283"/>
        <item x="67"/>
        <item x="480"/>
        <item x="305"/>
        <item x="142"/>
        <item x="199"/>
        <item x="310"/>
        <item x="114"/>
        <item x="17"/>
        <item x="328"/>
        <item x="46"/>
        <item x="103"/>
        <item x="41"/>
        <item x="37"/>
        <item x="72"/>
        <item x="249"/>
        <item x="256"/>
        <item x="96"/>
        <item x="209"/>
        <item x="76"/>
        <item x="508"/>
        <item x="482"/>
        <item x="367"/>
        <item x="444"/>
        <item x="321"/>
        <item x="258"/>
        <item x="400"/>
        <item x="79"/>
        <item x="172"/>
        <item x="294"/>
        <item x="620"/>
        <item x="600"/>
        <item x="21"/>
        <item x="336"/>
        <item x="546"/>
        <item x="616"/>
        <item x="510"/>
        <item x="604"/>
        <item x="543"/>
        <item x="147"/>
        <item x="293"/>
        <item x="94"/>
        <item x="320"/>
        <item x="385"/>
        <item x="150"/>
        <item x="149"/>
        <item x="291"/>
        <item x="112"/>
        <item x="454"/>
        <item x="185"/>
        <item x="186"/>
        <item x="205"/>
        <item x="195"/>
        <item x="189"/>
        <item x="177"/>
        <item x="182"/>
        <item t="default"/>
      </items>
    </pivotField>
    <pivotField showAll="0">
      <items count="93">
        <item x="19"/>
        <item x="63"/>
        <item x="50"/>
        <item x="24"/>
        <item x="6"/>
        <item x="11"/>
        <item x="18"/>
        <item x="68"/>
        <item x="15"/>
        <item x="2"/>
        <item x="59"/>
        <item x="21"/>
        <item x="67"/>
        <item x="32"/>
        <item x="60"/>
        <item x="12"/>
        <item x="66"/>
        <item x="0"/>
        <item x="53"/>
        <item x="64"/>
        <item x="86"/>
        <item x="56"/>
        <item x="43"/>
        <item x="49"/>
        <item x="48"/>
        <item x="14"/>
        <item x="44"/>
        <item x="1"/>
        <item x="54"/>
        <item x="91"/>
        <item x="37"/>
        <item x="90"/>
        <item x="89"/>
        <item x="46"/>
        <item x="61"/>
        <item x="13"/>
        <item x="58"/>
        <item x="57"/>
        <item x="34"/>
        <item x="27"/>
        <item x="88"/>
        <item x="87"/>
        <item x="25"/>
        <item x="70"/>
        <item x="3"/>
        <item x="81"/>
        <item x="82"/>
        <item x="85"/>
        <item x="75"/>
        <item x="38"/>
        <item x="7"/>
        <item x="79"/>
        <item x="52"/>
        <item x="20"/>
        <item x="72"/>
        <item x="5"/>
        <item x="65"/>
        <item x="40"/>
        <item x="41"/>
        <item x="36"/>
        <item x="8"/>
        <item x="84"/>
        <item x="16"/>
        <item x="69"/>
        <item x="77"/>
        <item x="22"/>
        <item x="4"/>
        <item x="73"/>
        <item x="26"/>
        <item x="28"/>
        <item x="33"/>
        <item x="71"/>
        <item x="29"/>
        <item x="80"/>
        <item x="9"/>
        <item x="23"/>
        <item x="35"/>
        <item x="31"/>
        <item x="74"/>
        <item x="76"/>
        <item x="30"/>
        <item x="47"/>
        <item x="62"/>
        <item x="17"/>
        <item x="42"/>
        <item x="39"/>
        <item x="51"/>
        <item x="45"/>
        <item x="83"/>
        <item x="10"/>
        <item x="78"/>
        <item x="55"/>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s>
  <rowFields count="1">
    <field x="4"/>
  </rowFields>
  <rowItems count="4">
    <i>
      <x v="1"/>
    </i>
    <i>
      <x/>
    </i>
    <i>
      <x v="2"/>
    </i>
    <i t="grand">
      <x/>
    </i>
  </rowItems>
  <colItems count="1">
    <i/>
  </colItems>
  <dataFields count="1">
    <dataField name="Sum of Tuition_USD" fld="6" baseField="0" baseItem="0" numFmtId="164"/>
  </dataFields>
  <formats count="2">
    <format dxfId="5">
      <pivotArea dataOnly="0" outline="0" fieldPosition="0">
        <references count="1">
          <reference field="4294967294" count="1">
            <x v="0"/>
          </reference>
        </references>
      </pivotArea>
    </format>
    <format dxfId="4">
      <pivotArea outline="0" fieldPosition="0">
        <references count="1">
          <reference field="4294967294" count="1">
            <x v="0"/>
          </reference>
        </references>
      </pivotArea>
    </format>
  </formats>
  <chartFormats count="6">
    <chartFormat chart="4"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1" format="4">
      <pivotArea type="data" outline="0" fieldPosition="0">
        <references count="2">
          <reference field="4294967294" count="1" selected="0">
            <x v="0"/>
          </reference>
          <reference field="4" count="1" selected="0">
            <x v="0"/>
          </reference>
        </references>
      </pivotArea>
    </chartFormat>
    <chartFormat chart="21" format="5">
      <pivotArea type="data" outline="0" fieldPosition="0">
        <references count="2">
          <reference field="4294967294" count="1" selected="0">
            <x v="0"/>
          </reference>
          <reference field="4" count="1" selected="0">
            <x v="1"/>
          </reference>
        </references>
      </pivotArea>
    </chartFormat>
    <chartFormat chart="21" format="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E7264B-E644-49FB-B073-36ED3BC53CEE}" name="PivotTable1" cacheId="3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A18:B22" firstHeaderRow="1" firstDataRow="1" firstDataCol="1"/>
  <pivotFields count="14">
    <pivotField showAll="0">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pivotField>
    <pivotField showAll="0">
      <items count="557">
        <item x="254"/>
        <item x="81"/>
        <item x="43"/>
        <item x="163"/>
        <item x="190"/>
        <item x="357"/>
        <item x="464"/>
        <item x="68"/>
        <item x="367"/>
        <item x="387"/>
        <item x="531"/>
        <item x="372"/>
        <item x="515"/>
        <item x="555"/>
        <item x="361"/>
        <item x="465"/>
        <item x="490"/>
        <item x="6"/>
        <item x="536"/>
        <item x="324"/>
        <item x="19"/>
        <item x="488"/>
        <item x="339"/>
        <item x="332"/>
        <item x="431"/>
        <item x="77"/>
        <item x="208"/>
        <item x="381"/>
        <item x="123"/>
        <item x="243"/>
        <item x="20"/>
        <item x="16"/>
        <item x="21"/>
        <item x="279"/>
        <item x="230"/>
        <item x="90"/>
        <item x="392"/>
        <item x="42"/>
        <item x="548"/>
        <item x="124"/>
        <item x="53"/>
        <item x="399"/>
        <item x="33"/>
        <item x="195"/>
        <item x="12"/>
        <item x="460"/>
        <item x="105"/>
        <item x="502"/>
        <item x="396"/>
        <item x="246"/>
        <item x="48"/>
        <item x="52"/>
        <item x="156"/>
        <item x="418"/>
        <item x="302"/>
        <item x="101"/>
        <item x="454"/>
        <item x="257"/>
        <item x="384"/>
        <item x="298"/>
        <item x="234"/>
        <item x="149"/>
        <item x="414"/>
        <item x="30"/>
        <item x="95"/>
        <item x="277"/>
        <item x="407"/>
        <item x="84"/>
        <item x="262"/>
        <item x="228"/>
        <item x="22"/>
        <item x="203"/>
        <item x="18"/>
        <item x="405"/>
        <item x="385"/>
        <item x="323"/>
        <item x="131"/>
        <item x="520"/>
        <item x="486"/>
        <item x="335"/>
        <item x="15"/>
        <item x="468"/>
        <item x="130"/>
        <item x="118"/>
        <item x="393"/>
        <item x="0"/>
        <item x="358"/>
        <item x="36"/>
        <item x="480"/>
        <item x="129"/>
        <item x="104"/>
        <item x="415"/>
        <item x="430"/>
        <item x="533"/>
        <item x="319"/>
        <item x="170"/>
        <item x="364"/>
        <item x="177"/>
        <item x="356"/>
        <item x="89"/>
        <item x="458"/>
        <item x="350"/>
        <item x="489"/>
        <item x="506"/>
        <item x="273"/>
        <item x="390"/>
        <item x="275"/>
        <item x="186"/>
        <item x="233"/>
        <item x="182"/>
        <item x="411"/>
        <item x="481"/>
        <item x="11"/>
        <item x="432"/>
        <item x="236"/>
        <item x="187"/>
        <item x="215"/>
        <item x="417"/>
        <item x="475"/>
        <item x="445"/>
        <item x="546"/>
        <item x="171"/>
        <item x="46"/>
        <item x="547"/>
        <item x="83"/>
        <item x="74"/>
        <item x="474"/>
        <item x="97"/>
        <item x="217"/>
        <item x="326"/>
        <item x="34"/>
        <item x="359"/>
        <item x="419"/>
        <item x="239"/>
        <item x="541"/>
        <item x="498"/>
        <item x="408"/>
        <item x="532"/>
        <item x="320"/>
        <item x="78"/>
        <item x="125"/>
        <item x="14"/>
        <item x="456"/>
        <item x="199"/>
        <item x="276"/>
        <item x="92"/>
        <item x="188"/>
        <item x="40"/>
        <item x="136"/>
        <item x="137"/>
        <item x="263"/>
        <item x="391"/>
        <item x="331"/>
        <item x="245"/>
        <item x="194"/>
        <item x="197"/>
        <item x="441"/>
        <item x="282"/>
        <item x="437"/>
        <item x="303"/>
        <item x="373"/>
        <item x="232"/>
        <item x="87"/>
        <item x="159"/>
        <item x="382"/>
        <item x="62"/>
        <item x="286"/>
        <item x="447"/>
        <item x="184"/>
        <item x="45"/>
        <item x="406"/>
        <item x="155"/>
        <item x="325"/>
        <item x="455"/>
        <item x="366"/>
        <item x="260"/>
        <item x="41"/>
        <item x="70"/>
        <item x="274"/>
        <item x="307"/>
        <item x="290"/>
        <item x="219"/>
        <item x="147"/>
        <item x="138"/>
        <item x="296"/>
        <item x="167"/>
        <item x="467"/>
        <item x="172"/>
        <item x="337"/>
        <item x="398"/>
        <item x="108"/>
        <item x="80"/>
        <item x="106"/>
        <item x="165"/>
        <item x="86"/>
        <item x="341"/>
        <item x="370"/>
        <item x="507"/>
        <item x="32"/>
        <item x="56"/>
        <item x="299"/>
        <item x="201"/>
        <item x="269"/>
        <item x="67"/>
        <item x="495"/>
        <item x="135"/>
        <item x="71"/>
        <item x="24"/>
        <item x="267"/>
        <item x="209"/>
        <item x="369"/>
        <item x="401"/>
        <item x="175"/>
        <item x="305"/>
        <item x="309"/>
        <item x="477"/>
        <item x="511"/>
        <item x="120"/>
        <item x="127"/>
        <item x="328"/>
        <item x="132"/>
        <item x="539"/>
        <item x="85"/>
        <item x="268"/>
        <item x="540"/>
        <item x="483"/>
        <item x="258"/>
        <item x="66"/>
        <item x="379"/>
        <item x="82"/>
        <item x="283"/>
        <item x="416"/>
        <item x="344"/>
        <item x="334"/>
        <item x="352"/>
        <item x="210"/>
        <item x="198"/>
        <item x="516"/>
        <item x="360"/>
        <item x="514"/>
        <item x="220"/>
        <item x="402"/>
        <item x="310"/>
        <item x="65"/>
        <item x="259"/>
        <item x="349"/>
        <item x="404"/>
        <item x="517"/>
        <item x="526"/>
        <item x="389"/>
        <item x="264"/>
        <item x="47"/>
        <item x="542"/>
        <item x="472"/>
        <item x="265"/>
        <item x="499"/>
        <item x="500"/>
        <item x="59"/>
        <item x="497"/>
        <item x="446"/>
        <item x="436"/>
        <item x="134"/>
        <item x="206"/>
        <item x="261"/>
        <item x="434"/>
        <item x="154"/>
        <item x="98"/>
        <item x="191"/>
        <item x="143"/>
        <item x="315"/>
        <item x="322"/>
        <item x="346"/>
        <item x="150"/>
        <item x="425"/>
        <item x="427"/>
        <item x="237"/>
        <item x="278"/>
        <item x="295"/>
        <item x="25"/>
        <item x="231"/>
        <item x="189"/>
        <item x="501"/>
        <item x="410"/>
        <item x="482"/>
        <item x="1"/>
        <item x="107"/>
        <item x="180"/>
        <item x="202"/>
        <item x="336"/>
        <item x="161"/>
        <item x="158"/>
        <item x="37"/>
        <item x="386"/>
        <item x="508"/>
        <item x="256"/>
        <item x="146"/>
        <item x="139"/>
        <item x="93"/>
        <item x="287"/>
        <item x="553"/>
        <item x="409"/>
        <item x="478"/>
        <item x="461"/>
        <item x="49"/>
        <item x="376"/>
        <item x="509"/>
        <item x="444"/>
        <item x="545"/>
        <item x="519"/>
        <item x="238"/>
        <item x="388"/>
        <item x="543"/>
        <item x="550"/>
        <item x="3"/>
        <item x="453"/>
        <item x="311"/>
        <item x="122"/>
        <item x="54"/>
        <item x="96"/>
        <item x="342"/>
        <item x="544"/>
        <item x="440"/>
        <item x="223"/>
        <item x="351"/>
        <item x="291"/>
        <item x="462"/>
        <item x="153"/>
        <item x="221"/>
        <item x="121"/>
        <item x="492"/>
        <item x="355"/>
        <item x="4"/>
        <item x="60"/>
        <item x="375"/>
        <item x="528"/>
        <item x="166"/>
        <item x="308"/>
        <item x="91"/>
        <item x="160"/>
        <item x="178"/>
        <item x="126"/>
        <item x="72"/>
        <item x="148"/>
        <item x="421"/>
        <item x="140"/>
        <item x="554"/>
        <item x="518"/>
        <item x="214"/>
        <item x="103"/>
        <item x="525"/>
        <item x="510"/>
        <item x="330"/>
        <item x="248"/>
        <item x="524"/>
        <item x="473"/>
        <item x="58"/>
        <item x="442"/>
        <item x="57"/>
        <item x="23"/>
        <item x="457"/>
        <item x="252"/>
        <item x="31"/>
        <item x="216"/>
        <item x="318"/>
        <item x="280"/>
        <item x="466"/>
        <item x="449"/>
        <item x="8"/>
        <item x="294"/>
        <item x="493"/>
        <item x="333"/>
        <item x="538"/>
        <item x="69"/>
        <item x="88"/>
        <item x="365"/>
        <item x="340"/>
        <item x="313"/>
        <item x="116"/>
        <item x="452"/>
        <item x="471"/>
        <item x="211"/>
        <item x="174"/>
        <item x="371"/>
        <item x="241"/>
        <item x="272"/>
        <item x="363"/>
        <item x="212"/>
        <item x="400"/>
        <item x="28"/>
        <item x="227"/>
        <item x="179"/>
        <item x="301"/>
        <item x="450"/>
        <item x="374"/>
        <item x="110"/>
        <item x="204"/>
        <item x="306"/>
        <item x="459"/>
        <item x="424"/>
        <item x="522"/>
        <item x="185"/>
        <item x="377"/>
        <item x="192"/>
        <item x="368"/>
        <item x="112"/>
        <item x="151"/>
        <item x="383"/>
        <item x="314"/>
        <item x="469"/>
        <item x="435"/>
        <item x="354"/>
        <item x="485"/>
        <item x="133"/>
        <item x="288"/>
        <item x="439"/>
        <item x="253"/>
        <item x="353"/>
        <item x="55"/>
        <item x="205"/>
        <item x="494"/>
        <item x="327"/>
        <item x="484"/>
        <item x="317"/>
        <item x="523"/>
        <item x="470"/>
        <item x="378"/>
        <item x="300"/>
        <item x="348"/>
        <item x="512"/>
        <item x="38"/>
        <item x="235"/>
        <item x="321"/>
        <item x="521"/>
        <item x="443"/>
        <item x="505"/>
        <item x="513"/>
        <item x="537"/>
        <item x="429"/>
        <item x="423"/>
        <item x="119"/>
        <item x="63"/>
        <item x="114"/>
        <item x="39"/>
        <item x="413"/>
        <item x="61"/>
        <item x="13"/>
        <item x="297"/>
        <item x="426"/>
        <item x="552"/>
        <item x="164"/>
        <item x="362"/>
        <item x="100"/>
        <item x="128"/>
        <item x="115"/>
        <item x="527"/>
        <item x="491"/>
        <item x="7"/>
        <item x="266"/>
        <item x="242"/>
        <item x="463"/>
        <item x="380"/>
        <item x="529"/>
        <item x="433"/>
        <item x="102"/>
        <item x="428"/>
        <item x="157"/>
        <item x="113"/>
        <item x="29"/>
        <item x="251"/>
        <item x="10"/>
        <item x="152"/>
        <item x="200"/>
        <item x="79"/>
        <item x="534"/>
        <item x="226"/>
        <item x="76"/>
        <item x="403"/>
        <item x="196"/>
        <item x="193"/>
        <item x="176"/>
        <item x="207"/>
        <item x="51"/>
        <item x="530"/>
        <item x="329"/>
        <item x="535"/>
        <item x="551"/>
        <item x="549"/>
        <item x="27"/>
        <item x="487"/>
        <item x="247"/>
        <item x="451"/>
        <item x="504"/>
        <item x="503"/>
        <item x="26"/>
        <item x="94"/>
        <item x="289"/>
        <item x="225"/>
        <item x="316"/>
        <item x="141"/>
        <item x="395"/>
        <item x="496"/>
        <item x="5"/>
        <item x="338"/>
        <item x="229"/>
        <item x="2"/>
        <item x="145"/>
        <item x="75"/>
        <item x="476"/>
        <item x="224"/>
        <item x="249"/>
        <item x="244"/>
        <item x="438"/>
        <item x="64"/>
        <item x="420"/>
        <item x="293"/>
        <item x="250"/>
        <item x="173"/>
        <item x="213"/>
        <item x="281"/>
        <item x="271"/>
        <item x="181"/>
        <item x="117"/>
        <item x="142"/>
        <item x="285"/>
        <item x="255"/>
        <item x="292"/>
        <item x="50"/>
        <item x="479"/>
        <item x="347"/>
        <item x="109"/>
        <item x="17"/>
        <item x="284"/>
        <item x="304"/>
        <item x="144"/>
        <item x="412"/>
        <item x="44"/>
        <item x="99"/>
        <item x="240"/>
        <item x="35"/>
        <item x="270"/>
        <item x="183"/>
        <item x="218"/>
        <item x="222"/>
        <item x="111"/>
        <item x="162"/>
        <item x="73"/>
        <item x="394"/>
        <item x="168"/>
        <item x="345"/>
        <item x="169"/>
        <item x="343"/>
        <item x="397"/>
        <item x="448"/>
        <item x="422"/>
        <item x="312"/>
        <item x="9"/>
        <item t="default"/>
      </items>
    </pivotField>
    <pivotField showAll="0">
      <items count="623">
        <item x="603"/>
        <item x="160"/>
        <item x="158"/>
        <item x="45"/>
        <item x="299"/>
        <item x="178"/>
        <item x="511"/>
        <item x="591"/>
        <item x="460"/>
        <item x="474"/>
        <item x="424"/>
        <item x="610"/>
        <item x="426"/>
        <item x="396"/>
        <item x="419"/>
        <item x="461"/>
        <item x="494"/>
        <item x="135"/>
        <item x="130"/>
        <item x="568"/>
        <item x="520"/>
        <item x="420"/>
        <item x="388"/>
        <item x="596"/>
        <item x="279"/>
        <item x="553"/>
        <item x="545"/>
        <item x="344"/>
        <item x="97"/>
        <item x="239"/>
        <item x="440"/>
        <item x="377"/>
        <item x="296"/>
        <item x="583"/>
        <item x="38"/>
        <item x="334"/>
        <item x="449"/>
        <item x="549"/>
        <item x="537"/>
        <item x="559"/>
        <item x="464"/>
        <item x="125"/>
        <item x="469"/>
        <item x="234"/>
        <item x="378"/>
        <item x="580"/>
        <item x="547"/>
        <item x="504"/>
        <item x="410"/>
        <item x="108"/>
        <item x="121"/>
        <item x="371"/>
        <item x="324"/>
        <item x="478"/>
        <item x="77"/>
        <item x="28"/>
        <item x="414"/>
        <item x="196"/>
        <item x="197"/>
        <item x="129"/>
        <item x="204"/>
        <item x="192"/>
        <item x="131"/>
        <item x="132"/>
        <item x="246"/>
        <item x="567"/>
        <item x="487"/>
        <item x="113"/>
        <item x="248"/>
        <item x="402"/>
        <item x="473"/>
        <item x="592"/>
        <item x="193"/>
        <item x="95"/>
        <item x="219"/>
        <item x="501"/>
        <item x="384"/>
        <item x="168"/>
        <item x="57"/>
        <item x="401"/>
        <item x="527"/>
        <item x="34"/>
        <item x="9"/>
        <item x="472"/>
        <item x="593"/>
        <item x="270"/>
        <item x="579"/>
        <item x="375"/>
        <item x="54"/>
        <item x="180"/>
        <item x="441"/>
        <item x="457"/>
        <item x="466"/>
        <item x="20"/>
        <item x="381"/>
        <item x="515"/>
        <item x="275"/>
        <item x="161"/>
        <item x="73"/>
        <item x="575"/>
        <item x="203"/>
        <item x="190"/>
        <item x="0"/>
        <item x="490"/>
        <item x="398"/>
        <item x="140"/>
        <item x="33"/>
        <item x="232"/>
        <item x="70"/>
        <item x="24"/>
        <item x="65"/>
        <item x="544"/>
        <item x="273"/>
        <item x="458"/>
        <item x="561"/>
        <item x="413"/>
        <item x="417"/>
        <item x="428"/>
        <item x="438"/>
        <item x="422"/>
        <item x="432"/>
        <item x="612"/>
        <item x="598"/>
        <item x="1"/>
        <item x="201"/>
        <item x="44"/>
        <item x="565"/>
        <item x="165"/>
        <item x="159"/>
        <item x="451"/>
        <item x="463"/>
        <item x="483"/>
        <item x="534"/>
        <item x="572"/>
        <item x="608"/>
        <item x="295"/>
        <item x="597"/>
        <item x="383"/>
        <item x="448"/>
        <item x="78"/>
        <item x="350"/>
        <item x="408"/>
        <item x="93"/>
        <item x="48"/>
        <item x="69"/>
        <item x="335"/>
        <item x="391"/>
        <item x="241"/>
        <item x="605"/>
        <item x="415"/>
        <item x="576"/>
        <item x="418"/>
        <item x="574"/>
        <item x="601"/>
        <item x="621"/>
        <item x="138"/>
        <item x="217"/>
        <item x="251"/>
        <item x="85"/>
        <item x="68"/>
        <item x="188"/>
        <item x="10"/>
        <item x="18"/>
        <item x="560"/>
        <item x="532"/>
        <item x="61"/>
        <item x="194"/>
        <item x="64"/>
        <item x="259"/>
        <item x="237"/>
        <item x="260"/>
        <item x="115"/>
        <item x="528"/>
        <item x="552"/>
        <item x="536"/>
        <item x="289"/>
        <item x="89"/>
        <item x="148"/>
        <item x="337"/>
        <item x="329"/>
        <item x="338"/>
        <item x="300"/>
        <item x="470"/>
        <item x="233"/>
        <item x="39"/>
        <item x="315"/>
        <item x="456"/>
        <item x="450"/>
        <item x="569"/>
        <item x="144"/>
        <item x="434"/>
        <item x="609"/>
        <item x="331"/>
        <item x="287"/>
        <item x="252"/>
        <item x="111"/>
        <item x="118"/>
        <item x="468"/>
        <item x="379"/>
        <item x="30"/>
        <item x="517"/>
        <item x="484"/>
        <item x="264"/>
        <item x="370"/>
        <item x="126"/>
        <item x="611"/>
        <item x="62"/>
        <item x="588"/>
        <item x="183"/>
        <item x="151"/>
        <item x="27"/>
        <item x="128"/>
        <item x="492"/>
        <item x="513"/>
        <item x="506"/>
        <item x="499"/>
        <item x="7"/>
        <item x="214"/>
        <item x="509"/>
        <item x="110"/>
        <item x="312"/>
        <item x="282"/>
        <item x="245"/>
        <item x="309"/>
        <item x="387"/>
        <item x="298"/>
        <item x="314"/>
        <item x="156"/>
        <item x="36"/>
        <item x="47"/>
        <item x="155"/>
        <item x="584"/>
        <item x="211"/>
        <item x="216"/>
        <item x="60"/>
        <item x="471"/>
        <item x="247"/>
        <item x="179"/>
        <item x="531"/>
        <item x="56"/>
        <item x="348"/>
        <item x="455"/>
        <item x="429"/>
        <item x="292"/>
        <item x="200"/>
        <item x="423"/>
        <item x="206"/>
        <item x="489"/>
        <item x="485"/>
        <item x="412"/>
        <item x="212"/>
        <item x="15"/>
        <item x="550"/>
        <item x="235"/>
        <item x="254"/>
        <item x="109"/>
        <item x="265"/>
        <item x="145"/>
        <item x="436"/>
        <item x="452"/>
        <item x="267"/>
        <item x="308"/>
        <item x="236"/>
        <item x="529"/>
        <item x="582"/>
        <item x="84"/>
        <item x="462"/>
        <item x="405"/>
        <item x="573"/>
        <item x="343"/>
        <item x="406"/>
        <item x="13"/>
        <item x="181"/>
        <item x="564"/>
        <item x="587"/>
        <item x="187"/>
        <item x="435"/>
        <item x="152"/>
        <item x="425"/>
        <item x="154"/>
        <item x="157"/>
        <item x="523"/>
        <item x="8"/>
        <item x="271"/>
        <item x="409"/>
        <item x="29"/>
        <item x="184"/>
        <item x="191"/>
        <item x="202"/>
        <item x="433"/>
        <item x="590"/>
        <item x="133"/>
        <item x="153"/>
        <item x="238"/>
        <item x="394"/>
        <item x="615"/>
        <item x="302"/>
        <item x="297"/>
        <item x="374"/>
        <item x="311"/>
        <item x="4"/>
        <item x="539"/>
        <item x="346"/>
        <item x="361"/>
        <item x="26"/>
        <item x="215"/>
        <item x="439"/>
        <item x="146"/>
        <item x="63"/>
        <item x="66"/>
        <item x="395"/>
        <item x="467"/>
        <item x="14"/>
        <item x="12"/>
        <item x="87"/>
        <item x="86"/>
        <item x="35"/>
        <item x="81"/>
        <item x="141"/>
        <item x="345"/>
        <item x="83"/>
        <item x="272"/>
        <item x="341"/>
        <item x="430"/>
        <item x="376"/>
        <item x="50"/>
        <item x="278"/>
        <item x="100"/>
        <item x="40"/>
        <item x="207"/>
        <item x="393"/>
        <item x="503"/>
        <item x="479"/>
        <item x="356"/>
        <item x="437"/>
        <item x="427"/>
        <item x="421"/>
        <item x="431"/>
        <item x="465"/>
        <item x="304"/>
        <item x="618"/>
        <item x="122"/>
        <item x="614"/>
        <item x="198"/>
        <item x="244"/>
        <item x="392"/>
        <item x="332"/>
        <item x="619"/>
        <item x="127"/>
        <item x="261"/>
        <item x="416"/>
        <item x="607"/>
        <item x="366"/>
        <item x="538"/>
        <item x="496"/>
        <item x="447"/>
        <item x="475"/>
        <item x="535"/>
        <item x="613"/>
        <item x="351"/>
        <item x="522"/>
        <item x="581"/>
        <item x="554"/>
        <item x="512"/>
        <item x="352"/>
        <item x="589"/>
        <item x="606"/>
        <item x="459"/>
        <item x="453"/>
        <item x="566"/>
        <item x="542"/>
        <item x="558"/>
        <item x="443"/>
        <item x="498"/>
        <item x="530"/>
        <item x="340"/>
        <item x="599"/>
        <item x="491"/>
        <item x="505"/>
        <item x="519"/>
        <item x="518"/>
        <item x="551"/>
        <item x="526"/>
        <item x="164"/>
        <item x="120"/>
        <item x="162"/>
        <item x="602"/>
        <item x="347"/>
        <item x="342"/>
        <item x="281"/>
        <item x="101"/>
        <item x="548"/>
        <item x="221"/>
        <item x="71"/>
        <item x="317"/>
        <item x="446"/>
        <item x="497"/>
        <item x="42"/>
        <item x="333"/>
        <item x="6"/>
        <item x="389"/>
        <item x="16"/>
        <item x="330"/>
        <item x="521"/>
        <item x="55"/>
        <item x="175"/>
        <item x="226"/>
        <item x="563"/>
        <item x="301"/>
        <item x="170"/>
        <item x="105"/>
        <item x="353"/>
        <item x="277"/>
        <item x="163"/>
        <item x="316"/>
        <item x="22"/>
        <item x="52"/>
        <item x="136"/>
        <item x="123"/>
        <item x="32"/>
        <item x="268"/>
        <item x="323"/>
        <item x="540"/>
        <item x="134"/>
        <item x="514"/>
        <item x="92"/>
        <item x="325"/>
        <item x="276"/>
        <item x="98"/>
        <item x="541"/>
        <item x="11"/>
        <item x="477"/>
        <item x="354"/>
        <item x="481"/>
        <item x="382"/>
        <item x="288"/>
        <item x="411"/>
        <item x="516"/>
        <item x="230"/>
        <item x="318"/>
        <item x="218"/>
        <item x="225"/>
        <item x="228"/>
        <item x="358"/>
        <item x="213"/>
        <item x="90"/>
        <item x="173"/>
        <item x="507"/>
        <item x="169"/>
        <item x="524"/>
        <item x="43"/>
        <item x="362"/>
        <item x="250"/>
        <item x="143"/>
        <item x="274"/>
        <item x="556"/>
        <item x="58"/>
        <item x="240"/>
        <item x="442"/>
        <item x="210"/>
        <item x="137"/>
        <item x="360"/>
        <item x="364"/>
        <item x="88"/>
        <item x="313"/>
        <item x="229"/>
        <item x="365"/>
        <item x="586"/>
        <item x="139"/>
        <item x="102"/>
        <item x="222"/>
        <item x="403"/>
        <item x="290"/>
        <item x="284"/>
        <item x="25"/>
        <item x="220"/>
        <item x="562"/>
        <item x="176"/>
        <item x="445"/>
        <item x="280"/>
        <item x="380"/>
        <item x="339"/>
        <item x="49"/>
        <item x="51"/>
        <item x="116"/>
        <item x="570"/>
        <item x="3"/>
        <item x="19"/>
        <item x="327"/>
        <item x="99"/>
        <item x="399"/>
        <item x="500"/>
        <item x="407"/>
        <item x="167"/>
        <item x="253"/>
        <item x="363"/>
        <item x="174"/>
        <item x="257"/>
        <item x="80"/>
        <item x="263"/>
        <item x="75"/>
        <item x="286"/>
        <item x="578"/>
        <item x="107"/>
        <item x="585"/>
        <item x="571"/>
        <item x="533"/>
        <item x="502"/>
        <item x="59"/>
        <item x="326"/>
        <item x="23"/>
        <item x="307"/>
        <item x="31"/>
        <item x="373"/>
        <item x="404"/>
        <item x="349"/>
        <item x="390"/>
        <item x="91"/>
        <item x="397"/>
        <item x="368"/>
        <item x="242"/>
        <item x="322"/>
        <item x="243"/>
        <item x="577"/>
        <item x="262"/>
        <item x="223"/>
        <item x="117"/>
        <item x="495"/>
        <item x="555"/>
        <item x="372"/>
        <item x="285"/>
        <item x="355"/>
        <item x="124"/>
        <item x="119"/>
        <item x="525"/>
        <item x="486"/>
        <item x="104"/>
        <item x="255"/>
        <item x="476"/>
        <item x="493"/>
        <item x="106"/>
        <item x="319"/>
        <item x="303"/>
        <item x="269"/>
        <item x="488"/>
        <item x="171"/>
        <item x="306"/>
        <item x="166"/>
        <item x="231"/>
        <item x="82"/>
        <item x="594"/>
        <item x="227"/>
        <item x="224"/>
        <item x="53"/>
        <item x="386"/>
        <item x="595"/>
        <item x="617"/>
        <item x="74"/>
        <item x="266"/>
        <item x="208"/>
        <item x="369"/>
        <item x="357"/>
        <item x="359"/>
        <item x="557"/>
        <item x="5"/>
        <item x="2"/>
        <item x="283"/>
        <item x="67"/>
        <item x="480"/>
        <item x="305"/>
        <item x="142"/>
        <item x="199"/>
        <item x="310"/>
        <item x="114"/>
        <item x="17"/>
        <item x="328"/>
        <item x="46"/>
        <item x="103"/>
        <item x="41"/>
        <item x="37"/>
        <item x="72"/>
        <item x="249"/>
        <item x="256"/>
        <item x="96"/>
        <item x="209"/>
        <item x="76"/>
        <item x="508"/>
        <item x="482"/>
        <item x="367"/>
        <item x="444"/>
        <item x="321"/>
        <item x="258"/>
        <item x="400"/>
        <item x="79"/>
        <item x="172"/>
        <item x="294"/>
        <item x="620"/>
        <item x="600"/>
        <item x="21"/>
        <item x="336"/>
        <item x="546"/>
        <item x="616"/>
        <item x="510"/>
        <item x="604"/>
        <item x="543"/>
        <item x="147"/>
        <item x="293"/>
        <item x="94"/>
        <item x="320"/>
        <item x="385"/>
        <item x="150"/>
        <item x="149"/>
        <item x="291"/>
        <item x="112"/>
        <item x="454"/>
        <item x="185"/>
        <item x="186"/>
        <item x="205"/>
        <item x="195"/>
        <item x="189"/>
        <item x="177"/>
        <item x="182"/>
        <item t="default"/>
      </items>
    </pivotField>
    <pivotField showAll="0">
      <items count="93">
        <item x="19"/>
        <item x="63"/>
        <item x="50"/>
        <item x="24"/>
        <item x="6"/>
        <item x="11"/>
        <item x="18"/>
        <item x="68"/>
        <item x="15"/>
        <item x="2"/>
        <item x="59"/>
        <item x="21"/>
        <item x="67"/>
        <item x="32"/>
        <item x="60"/>
        <item x="12"/>
        <item x="66"/>
        <item x="0"/>
        <item x="53"/>
        <item x="64"/>
        <item x="86"/>
        <item x="56"/>
        <item x="43"/>
        <item x="49"/>
        <item x="48"/>
        <item x="14"/>
        <item x="44"/>
        <item x="1"/>
        <item x="54"/>
        <item x="91"/>
        <item x="37"/>
        <item x="90"/>
        <item x="89"/>
        <item x="46"/>
        <item x="61"/>
        <item x="13"/>
        <item x="58"/>
        <item x="57"/>
        <item x="34"/>
        <item x="27"/>
        <item x="88"/>
        <item x="87"/>
        <item x="25"/>
        <item x="70"/>
        <item x="3"/>
        <item x="81"/>
        <item x="82"/>
        <item x="85"/>
        <item x="75"/>
        <item x="38"/>
        <item x="7"/>
        <item x="79"/>
        <item x="52"/>
        <item x="20"/>
        <item x="72"/>
        <item x="5"/>
        <item x="65"/>
        <item x="40"/>
        <item x="41"/>
        <item x="36"/>
        <item x="8"/>
        <item x="84"/>
        <item x="16"/>
        <item x="69"/>
        <item x="77"/>
        <item x="22"/>
        <item x="4"/>
        <item x="73"/>
        <item x="26"/>
        <item x="28"/>
        <item x="33"/>
        <item x="71"/>
        <item x="29"/>
        <item x="80"/>
        <item x="9"/>
        <item x="23"/>
        <item x="35"/>
        <item x="31"/>
        <item x="74"/>
        <item x="76"/>
        <item x="30"/>
        <item x="47"/>
        <item x="62"/>
        <item x="17"/>
        <item x="42"/>
        <item x="39"/>
        <item x="51"/>
        <item x="45"/>
        <item x="83"/>
        <item x="10"/>
        <item x="78"/>
        <item x="55"/>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s>
  <rowFields count="1">
    <field x="4"/>
  </rowFields>
  <rowItems count="4">
    <i>
      <x v="1"/>
    </i>
    <i>
      <x/>
    </i>
    <i>
      <x v="2"/>
    </i>
    <i t="grand">
      <x/>
    </i>
  </rowItems>
  <colItems count="1">
    <i/>
  </colItems>
  <dataFields count="1">
    <dataField name="Sum of Total_Study_Cost" fld="13" baseField="0" baseItem="0" numFmtId="44"/>
  </dataFields>
  <formats count="3">
    <format dxfId="8">
      <pivotArea outline="0" fieldPosition="0">
        <references count="1">
          <reference field="4294967294" count="1">
            <x v="0"/>
          </reference>
        </references>
      </pivotArea>
    </format>
    <format dxfId="7">
      <pivotArea outline="0" collapsedLevelsAreSubtotals="1"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96B376-F930-464A-A8FD-AF77BBF31BE4}" name="PivotTable3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A41" firstHeaderRow="1" firstDataRow="1" firstDataCol="0"/>
  <pivotFields count="14">
    <pivotField showAll="0">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pivotField>
    <pivotField showAll="0">
      <items count="557">
        <item x="254"/>
        <item x="81"/>
        <item x="43"/>
        <item x="163"/>
        <item x="190"/>
        <item x="357"/>
        <item x="464"/>
        <item x="68"/>
        <item x="367"/>
        <item x="387"/>
        <item x="531"/>
        <item x="372"/>
        <item x="515"/>
        <item x="555"/>
        <item x="361"/>
        <item x="465"/>
        <item x="490"/>
        <item x="6"/>
        <item x="536"/>
        <item x="324"/>
        <item x="19"/>
        <item x="488"/>
        <item x="339"/>
        <item x="332"/>
        <item x="431"/>
        <item x="77"/>
        <item x="208"/>
        <item x="381"/>
        <item x="123"/>
        <item x="243"/>
        <item x="20"/>
        <item x="16"/>
        <item x="21"/>
        <item x="279"/>
        <item x="230"/>
        <item x="90"/>
        <item x="392"/>
        <item x="42"/>
        <item x="548"/>
        <item x="124"/>
        <item x="53"/>
        <item x="399"/>
        <item x="33"/>
        <item x="195"/>
        <item x="12"/>
        <item x="460"/>
        <item x="105"/>
        <item x="502"/>
        <item x="396"/>
        <item x="246"/>
        <item x="48"/>
        <item x="52"/>
        <item x="156"/>
        <item x="418"/>
        <item x="302"/>
        <item x="101"/>
        <item x="454"/>
        <item x="257"/>
        <item x="384"/>
        <item x="298"/>
        <item x="234"/>
        <item x="149"/>
        <item x="414"/>
        <item x="30"/>
        <item x="95"/>
        <item x="277"/>
        <item x="407"/>
        <item x="84"/>
        <item x="262"/>
        <item x="228"/>
        <item x="22"/>
        <item x="203"/>
        <item x="18"/>
        <item x="405"/>
        <item x="385"/>
        <item x="323"/>
        <item x="131"/>
        <item x="520"/>
        <item x="486"/>
        <item x="335"/>
        <item x="15"/>
        <item x="468"/>
        <item x="130"/>
        <item x="118"/>
        <item x="393"/>
        <item x="0"/>
        <item x="358"/>
        <item x="36"/>
        <item x="480"/>
        <item x="129"/>
        <item x="104"/>
        <item x="415"/>
        <item x="430"/>
        <item x="533"/>
        <item x="319"/>
        <item x="170"/>
        <item x="364"/>
        <item x="177"/>
        <item x="356"/>
        <item x="89"/>
        <item x="458"/>
        <item x="350"/>
        <item x="489"/>
        <item x="506"/>
        <item x="273"/>
        <item x="390"/>
        <item x="275"/>
        <item x="186"/>
        <item x="233"/>
        <item x="182"/>
        <item x="411"/>
        <item x="481"/>
        <item x="11"/>
        <item x="432"/>
        <item x="236"/>
        <item x="187"/>
        <item x="215"/>
        <item x="417"/>
        <item x="475"/>
        <item x="445"/>
        <item x="546"/>
        <item x="171"/>
        <item x="46"/>
        <item x="547"/>
        <item x="83"/>
        <item x="74"/>
        <item x="474"/>
        <item x="97"/>
        <item x="217"/>
        <item x="326"/>
        <item x="34"/>
        <item x="359"/>
        <item x="419"/>
        <item x="239"/>
        <item x="541"/>
        <item x="498"/>
        <item x="408"/>
        <item x="532"/>
        <item x="320"/>
        <item x="78"/>
        <item x="125"/>
        <item x="14"/>
        <item x="456"/>
        <item x="199"/>
        <item x="276"/>
        <item x="92"/>
        <item x="188"/>
        <item x="40"/>
        <item x="136"/>
        <item x="137"/>
        <item x="263"/>
        <item x="391"/>
        <item x="331"/>
        <item x="245"/>
        <item x="194"/>
        <item x="197"/>
        <item x="441"/>
        <item x="282"/>
        <item x="437"/>
        <item x="303"/>
        <item x="373"/>
        <item x="232"/>
        <item x="87"/>
        <item x="159"/>
        <item x="382"/>
        <item x="62"/>
        <item x="286"/>
        <item x="447"/>
        <item x="184"/>
        <item x="45"/>
        <item x="406"/>
        <item x="155"/>
        <item x="325"/>
        <item x="455"/>
        <item x="366"/>
        <item x="260"/>
        <item x="41"/>
        <item x="70"/>
        <item x="274"/>
        <item x="307"/>
        <item x="290"/>
        <item x="219"/>
        <item x="147"/>
        <item x="138"/>
        <item x="296"/>
        <item x="167"/>
        <item x="467"/>
        <item x="172"/>
        <item x="337"/>
        <item x="398"/>
        <item x="108"/>
        <item x="80"/>
        <item x="106"/>
        <item x="165"/>
        <item x="86"/>
        <item x="341"/>
        <item x="370"/>
        <item x="507"/>
        <item x="32"/>
        <item x="56"/>
        <item x="299"/>
        <item x="201"/>
        <item x="269"/>
        <item x="67"/>
        <item x="495"/>
        <item x="135"/>
        <item x="71"/>
        <item x="24"/>
        <item x="267"/>
        <item x="209"/>
        <item x="369"/>
        <item x="401"/>
        <item x="175"/>
        <item x="305"/>
        <item x="309"/>
        <item x="477"/>
        <item x="511"/>
        <item x="120"/>
        <item x="127"/>
        <item x="328"/>
        <item x="132"/>
        <item x="539"/>
        <item x="85"/>
        <item x="268"/>
        <item x="540"/>
        <item x="483"/>
        <item x="258"/>
        <item x="66"/>
        <item x="379"/>
        <item x="82"/>
        <item x="283"/>
        <item x="416"/>
        <item x="344"/>
        <item x="334"/>
        <item x="352"/>
        <item x="210"/>
        <item x="198"/>
        <item x="516"/>
        <item x="360"/>
        <item x="514"/>
        <item x="220"/>
        <item x="402"/>
        <item x="310"/>
        <item x="65"/>
        <item x="259"/>
        <item x="349"/>
        <item x="404"/>
        <item x="517"/>
        <item x="526"/>
        <item x="389"/>
        <item x="264"/>
        <item x="47"/>
        <item x="542"/>
        <item x="472"/>
        <item x="265"/>
        <item x="499"/>
        <item x="500"/>
        <item x="59"/>
        <item x="497"/>
        <item x="446"/>
        <item x="436"/>
        <item x="134"/>
        <item x="206"/>
        <item x="261"/>
        <item x="434"/>
        <item x="154"/>
        <item x="98"/>
        <item x="191"/>
        <item x="143"/>
        <item x="315"/>
        <item x="322"/>
        <item x="346"/>
        <item x="150"/>
        <item x="425"/>
        <item x="427"/>
        <item x="237"/>
        <item x="278"/>
        <item x="295"/>
        <item x="25"/>
        <item x="231"/>
        <item x="189"/>
        <item x="501"/>
        <item x="410"/>
        <item x="482"/>
        <item x="1"/>
        <item x="107"/>
        <item x="180"/>
        <item x="202"/>
        <item x="336"/>
        <item x="161"/>
        <item x="158"/>
        <item x="37"/>
        <item x="386"/>
        <item x="508"/>
        <item x="256"/>
        <item x="146"/>
        <item x="139"/>
        <item x="93"/>
        <item x="287"/>
        <item x="553"/>
        <item x="409"/>
        <item x="478"/>
        <item x="461"/>
        <item x="49"/>
        <item x="376"/>
        <item x="509"/>
        <item x="444"/>
        <item x="545"/>
        <item x="519"/>
        <item x="238"/>
        <item x="388"/>
        <item x="543"/>
        <item x="550"/>
        <item x="3"/>
        <item x="453"/>
        <item x="311"/>
        <item x="122"/>
        <item x="54"/>
        <item x="96"/>
        <item x="342"/>
        <item x="544"/>
        <item x="440"/>
        <item x="223"/>
        <item x="351"/>
        <item x="291"/>
        <item x="462"/>
        <item x="153"/>
        <item x="221"/>
        <item x="121"/>
        <item x="492"/>
        <item x="355"/>
        <item x="4"/>
        <item x="60"/>
        <item x="375"/>
        <item x="528"/>
        <item x="166"/>
        <item x="308"/>
        <item x="91"/>
        <item x="160"/>
        <item x="178"/>
        <item x="126"/>
        <item x="72"/>
        <item x="148"/>
        <item x="421"/>
        <item x="140"/>
        <item x="554"/>
        <item x="518"/>
        <item x="214"/>
        <item x="103"/>
        <item x="525"/>
        <item x="510"/>
        <item x="330"/>
        <item x="248"/>
        <item x="524"/>
        <item x="473"/>
        <item x="58"/>
        <item x="442"/>
        <item x="57"/>
        <item x="23"/>
        <item x="457"/>
        <item x="252"/>
        <item x="31"/>
        <item x="216"/>
        <item x="318"/>
        <item x="280"/>
        <item x="466"/>
        <item x="449"/>
        <item x="8"/>
        <item x="294"/>
        <item x="493"/>
        <item x="333"/>
        <item x="538"/>
        <item x="69"/>
        <item x="88"/>
        <item x="365"/>
        <item x="340"/>
        <item x="313"/>
        <item x="116"/>
        <item x="452"/>
        <item x="471"/>
        <item x="211"/>
        <item x="174"/>
        <item x="371"/>
        <item x="241"/>
        <item x="272"/>
        <item x="363"/>
        <item x="212"/>
        <item x="400"/>
        <item x="28"/>
        <item x="227"/>
        <item x="179"/>
        <item x="301"/>
        <item x="450"/>
        <item x="374"/>
        <item x="110"/>
        <item x="204"/>
        <item x="306"/>
        <item x="459"/>
        <item x="424"/>
        <item x="522"/>
        <item x="185"/>
        <item x="377"/>
        <item x="192"/>
        <item x="368"/>
        <item x="112"/>
        <item x="151"/>
        <item x="383"/>
        <item x="314"/>
        <item x="469"/>
        <item x="435"/>
        <item x="354"/>
        <item x="485"/>
        <item x="133"/>
        <item x="288"/>
        <item x="439"/>
        <item x="253"/>
        <item x="353"/>
        <item x="55"/>
        <item x="205"/>
        <item x="494"/>
        <item x="327"/>
        <item x="484"/>
        <item x="317"/>
        <item x="523"/>
        <item x="470"/>
        <item x="378"/>
        <item x="300"/>
        <item x="348"/>
        <item x="512"/>
        <item x="38"/>
        <item x="235"/>
        <item x="321"/>
        <item x="521"/>
        <item x="443"/>
        <item x="505"/>
        <item x="513"/>
        <item x="537"/>
        <item x="429"/>
        <item x="423"/>
        <item x="119"/>
        <item x="63"/>
        <item x="114"/>
        <item x="39"/>
        <item x="413"/>
        <item x="61"/>
        <item x="13"/>
        <item x="297"/>
        <item x="426"/>
        <item x="552"/>
        <item x="164"/>
        <item x="362"/>
        <item x="100"/>
        <item x="128"/>
        <item x="115"/>
        <item x="527"/>
        <item x="491"/>
        <item x="7"/>
        <item x="266"/>
        <item x="242"/>
        <item x="463"/>
        <item x="380"/>
        <item x="529"/>
        <item x="433"/>
        <item x="102"/>
        <item x="428"/>
        <item x="157"/>
        <item x="113"/>
        <item x="29"/>
        <item x="251"/>
        <item x="10"/>
        <item x="152"/>
        <item x="200"/>
        <item x="79"/>
        <item x="534"/>
        <item x="226"/>
        <item x="76"/>
        <item x="403"/>
        <item x="196"/>
        <item x="193"/>
        <item x="176"/>
        <item x="207"/>
        <item x="51"/>
        <item x="530"/>
        <item x="329"/>
        <item x="535"/>
        <item x="551"/>
        <item x="549"/>
        <item x="27"/>
        <item x="487"/>
        <item x="247"/>
        <item x="451"/>
        <item x="504"/>
        <item x="503"/>
        <item x="26"/>
        <item x="94"/>
        <item x="289"/>
        <item x="225"/>
        <item x="316"/>
        <item x="141"/>
        <item x="395"/>
        <item x="496"/>
        <item x="5"/>
        <item x="338"/>
        <item x="229"/>
        <item x="2"/>
        <item x="145"/>
        <item x="75"/>
        <item x="476"/>
        <item x="224"/>
        <item x="249"/>
        <item x="244"/>
        <item x="438"/>
        <item x="64"/>
        <item x="420"/>
        <item x="293"/>
        <item x="250"/>
        <item x="173"/>
        <item x="213"/>
        <item x="281"/>
        <item x="271"/>
        <item x="181"/>
        <item x="117"/>
        <item x="142"/>
        <item x="285"/>
        <item x="255"/>
        <item x="292"/>
        <item x="50"/>
        <item x="479"/>
        <item x="347"/>
        <item x="109"/>
        <item x="17"/>
        <item x="284"/>
        <item x="304"/>
        <item x="144"/>
        <item x="412"/>
        <item x="44"/>
        <item x="99"/>
        <item x="240"/>
        <item x="35"/>
        <item x="270"/>
        <item x="183"/>
        <item x="218"/>
        <item x="222"/>
        <item x="111"/>
        <item x="162"/>
        <item x="73"/>
        <item x="394"/>
        <item x="168"/>
        <item x="345"/>
        <item x="169"/>
        <item x="343"/>
        <item x="397"/>
        <item x="448"/>
        <item x="422"/>
        <item x="312"/>
        <item x="9"/>
        <item t="default"/>
      </items>
    </pivotField>
    <pivotField showAll="0">
      <items count="623">
        <item x="603"/>
        <item x="160"/>
        <item x="158"/>
        <item x="45"/>
        <item x="299"/>
        <item x="178"/>
        <item x="511"/>
        <item x="591"/>
        <item x="460"/>
        <item x="474"/>
        <item x="424"/>
        <item x="610"/>
        <item x="426"/>
        <item x="396"/>
        <item x="419"/>
        <item x="461"/>
        <item x="494"/>
        <item x="135"/>
        <item x="130"/>
        <item x="568"/>
        <item x="520"/>
        <item x="420"/>
        <item x="388"/>
        <item x="596"/>
        <item x="279"/>
        <item x="553"/>
        <item x="545"/>
        <item x="344"/>
        <item x="97"/>
        <item x="239"/>
        <item x="440"/>
        <item x="377"/>
        <item x="296"/>
        <item x="583"/>
        <item x="38"/>
        <item x="334"/>
        <item x="449"/>
        <item x="549"/>
        <item x="537"/>
        <item x="559"/>
        <item x="464"/>
        <item x="125"/>
        <item x="469"/>
        <item x="234"/>
        <item x="378"/>
        <item x="580"/>
        <item x="547"/>
        <item x="504"/>
        <item x="410"/>
        <item x="108"/>
        <item x="121"/>
        <item x="371"/>
        <item x="324"/>
        <item x="478"/>
        <item x="77"/>
        <item x="28"/>
        <item x="414"/>
        <item x="196"/>
        <item x="197"/>
        <item x="129"/>
        <item x="204"/>
        <item x="192"/>
        <item x="131"/>
        <item x="132"/>
        <item x="246"/>
        <item x="567"/>
        <item x="487"/>
        <item x="113"/>
        <item x="248"/>
        <item x="402"/>
        <item x="473"/>
        <item x="592"/>
        <item x="193"/>
        <item x="95"/>
        <item x="219"/>
        <item x="501"/>
        <item x="384"/>
        <item x="168"/>
        <item x="57"/>
        <item x="401"/>
        <item x="527"/>
        <item x="34"/>
        <item x="9"/>
        <item x="472"/>
        <item x="593"/>
        <item x="270"/>
        <item x="579"/>
        <item x="375"/>
        <item x="54"/>
        <item x="180"/>
        <item x="441"/>
        <item x="457"/>
        <item x="466"/>
        <item x="20"/>
        <item x="381"/>
        <item x="515"/>
        <item x="275"/>
        <item x="161"/>
        <item x="73"/>
        <item x="575"/>
        <item x="203"/>
        <item x="190"/>
        <item x="0"/>
        <item x="490"/>
        <item x="398"/>
        <item x="140"/>
        <item x="33"/>
        <item x="232"/>
        <item x="70"/>
        <item x="24"/>
        <item x="65"/>
        <item x="544"/>
        <item x="273"/>
        <item x="458"/>
        <item x="561"/>
        <item x="413"/>
        <item x="417"/>
        <item x="428"/>
        <item x="438"/>
        <item x="422"/>
        <item x="432"/>
        <item x="612"/>
        <item x="598"/>
        <item x="1"/>
        <item x="201"/>
        <item x="44"/>
        <item x="565"/>
        <item x="165"/>
        <item x="159"/>
        <item x="451"/>
        <item x="463"/>
        <item x="483"/>
        <item x="534"/>
        <item x="572"/>
        <item x="608"/>
        <item x="295"/>
        <item x="597"/>
        <item x="383"/>
        <item x="448"/>
        <item x="78"/>
        <item x="350"/>
        <item x="408"/>
        <item x="93"/>
        <item x="48"/>
        <item x="69"/>
        <item x="335"/>
        <item x="391"/>
        <item x="241"/>
        <item x="605"/>
        <item x="415"/>
        <item x="576"/>
        <item x="418"/>
        <item x="574"/>
        <item x="601"/>
        <item x="621"/>
        <item x="138"/>
        <item x="217"/>
        <item x="251"/>
        <item x="85"/>
        <item x="68"/>
        <item x="188"/>
        <item x="10"/>
        <item x="18"/>
        <item x="560"/>
        <item x="532"/>
        <item x="61"/>
        <item x="194"/>
        <item x="64"/>
        <item x="259"/>
        <item x="237"/>
        <item x="260"/>
        <item x="115"/>
        <item x="528"/>
        <item x="552"/>
        <item x="536"/>
        <item x="289"/>
        <item x="89"/>
        <item x="148"/>
        <item x="337"/>
        <item x="329"/>
        <item x="338"/>
        <item x="300"/>
        <item x="470"/>
        <item x="233"/>
        <item x="39"/>
        <item x="315"/>
        <item x="456"/>
        <item x="450"/>
        <item x="569"/>
        <item x="144"/>
        <item x="434"/>
        <item x="609"/>
        <item x="331"/>
        <item x="287"/>
        <item x="252"/>
        <item x="111"/>
        <item x="118"/>
        <item x="468"/>
        <item x="379"/>
        <item x="30"/>
        <item x="517"/>
        <item x="484"/>
        <item x="264"/>
        <item x="370"/>
        <item x="126"/>
        <item x="611"/>
        <item x="62"/>
        <item x="588"/>
        <item x="183"/>
        <item x="151"/>
        <item x="27"/>
        <item x="128"/>
        <item x="492"/>
        <item x="513"/>
        <item x="506"/>
        <item x="499"/>
        <item x="7"/>
        <item x="214"/>
        <item x="509"/>
        <item x="110"/>
        <item x="312"/>
        <item x="282"/>
        <item x="245"/>
        <item x="309"/>
        <item x="387"/>
        <item x="298"/>
        <item x="314"/>
        <item x="156"/>
        <item x="36"/>
        <item x="47"/>
        <item x="155"/>
        <item x="584"/>
        <item x="211"/>
        <item x="216"/>
        <item x="60"/>
        <item x="471"/>
        <item x="247"/>
        <item x="179"/>
        <item x="531"/>
        <item x="56"/>
        <item x="348"/>
        <item x="455"/>
        <item x="429"/>
        <item x="292"/>
        <item x="200"/>
        <item x="423"/>
        <item x="206"/>
        <item x="489"/>
        <item x="485"/>
        <item x="412"/>
        <item x="212"/>
        <item x="15"/>
        <item x="550"/>
        <item x="235"/>
        <item x="254"/>
        <item x="109"/>
        <item x="265"/>
        <item x="145"/>
        <item x="436"/>
        <item x="452"/>
        <item x="267"/>
        <item x="308"/>
        <item x="236"/>
        <item x="529"/>
        <item x="582"/>
        <item x="84"/>
        <item x="462"/>
        <item x="405"/>
        <item x="573"/>
        <item x="343"/>
        <item x="406"/>
        <item x="13"/>
        <item x="181"/>
        <item x="564"/>
        <item x="587"/>
        <item x="187"/>
        <item x="435"/>
        <item x="152"/>
        <item x="425"/>
        <item x="154"/>
        <item x="157"/>
        <item x="523"/>
        <item x="8"/>
        <item x="271"/>
        <item x="409"/>
        <item x="29"/>
        <item x="184"/>
        <item x="191"/>
        <item x="202"/>
        <item x="433"/>
        <item x="590"/>
        <item x="133"/>
        <item x="153"/>
        <item x="238"/>
        <item x="394"/>
        <item x="615"/>
        <item x="302"/>
        <item x="297"/>
        <item x="374"/>
        <item x="311"/>
        <item x="4"/>
        <item x="539"/>
        <item x="346"/>
        <item x="361"/>
        <item x="26"/>
        <item x="215"/>
        <item x="439"/>
        <item x="146"/>
        <item x="63"/>
        <item x="66"/>
        <item x="395"/>
        <item x="467"/>
        <item x="14"/>
        <item x="12"/>
        <item x="87"/>
        <item x="86"/>
        <item x="35"/>
        <item x="81"/>
        <item x="141"/>
        <item x="345"/>
        <item x="83"/>
        <item x="272"/>
        <item x="341"/>
        <item x="430"/>
        <item x="376"/>
        <item x="50"/>
        <item x="278"/>
        <item x="100"/>
        <item x="40"/>
        <item x="207"/>
        <item x="393"/>
        <item x="503"/>
        <item x="479"/>
        <item x="356"/>
        <item x="437"/>
        <item x="427"/>
        <item x="421"/>
        <item x="431"/>
        <item x="465"/>
        <item x="304"/>
        <item x="618"/>
        <item x="122"/>
        <item x="614"/>
        <item x="198"/>
        <item x="244"/>
        <item x="392"/>
        <item x="332"/>
        <item x="619"/>
        <item x="127"/>
        <item x="261"/>
        <item x="416"/>
        <item x="607"/>
        <item x="366"/>
        <item x="538"/>
        <item x="496"/>
        <item x="447"/>
        <item x="475"/>
        <item x="535"/>
        <item x="613"/>
        <item x="351"/>
        <item x="522"/>
        <item x="581"/>
        <item x="554"/>
        <item x="512"/>
        <item x="352"/>
        <item x="589"/>
        <item x="606"/>
        <item x="459"/>
        <item x="453"/>
        <item x="566"/>
        <item x="542"/>
        <item x="558"/>
        <item x="443"/>
        <item x="498"/>
        <item x="530"/>
        <item x="340"/>
        <item x="599"/>
        <item x="491"/>
        <item x="505"/>
        <item x="519"/>
        <item x="518"/>
        <item x="551"/>
        <item x="526"/>
        <item x="164"/>
        <item x="120"/>
        <item x="162"/>
        <item x="602"/>
        <item x="347"/>
        <item x="342"/>
        <item x="281"/>
        <item x="101"/>
        <item x="548"/>
        <item x="221"/>
        <item x="71"/>
        <item x="317"/>
        <item x="446"/>
        <item x="497"/>
        <item x="42"/>
        <item x="333"/>
        <item x="6"/>
        <item x="389"/>
        <item x="16"/>
        <item x="330"/>
        <item x="521"/>
        <item x="55"/>
        <item x="175"/>
        <item x="226"/>
        <item x="563"/>
        <item x="301"/>
        <item x="170"/>
        <item x="105"/>
        <item x="353"/>
        <item x="277"/>
        <item x="163"/>
        <item x="316"/>
        <item x="22"/>
        <item x="52"/>
        <item x="136"/>
        <item x="123"/>
        <item x="32"/>
        <item x="268"/>
        <item x="323"/>
        <item x="540"/>
        <item x="134"/>
        <item x="514"/>
        <item x="92"/>
        <item x="325"/>
        <item x="276"/>
        <item x="98"/>
        <item x="541"/>
        <item x="11"/>
        <item x="477"/>
        <item x="354"/>
        <item x="481"/>
        <item x="382"/>
        <item x="288"/>
        <item x="411"/>
        <item x="516"/>
        <item x="230"/>
        <item x="318"/>
        <item x="218"/>
        <item x="225"/>
        <item x="228"/>
        <item x="358"/>
        <item x="213"/>
        <item x="90"/>
        <item x="173"/>
        <item x="507"/>
        <item x="169"/>
        <item x="524"/>
        <item x="43"/>
        <item x="362"/>
        <item x="250"/>
        <item x="143"/>
        <item x="274"/>
        <item x="556"/>
        <item x="58"/>
        <item x="240"/>
        <item x="442"/>
        <item x="210"/>
        <item x="137"/>
        <item x="360"/>
        <item x="364"/>
        <item x="88"/>
        <item x="313"/>
        <item x="229"/>
        <item x="365"/>
        <item x="586"/>
        <item x="139"/>
        <item x="102"/>
        <item x="222"/>
        <item x="403"/>
        <item x="290"/>
        <item x="284"/>
        <item x="25"/>
        <item x="220"/>
        <item x="562"/>
        <item x="176"/>
        <item x="445"/>
        <item x="280"/>
        <item x="380"/>
        <item x="339"/>
        <item x="49"/>
        <item x="51"/>
        <item x="116"/>
        <item x="570"/>
        <item x="3"/>
        <item x="19"/>
        <item x="327"/>
        <item x="99"/>
        <item x="399"/>
        <item x="500"/>
        <item x="407"/>
        <item x="167"/>
        <item x="253"/>
        <item x="363"/>
        <item x="174"/>
        <item x="257"/>
        <item x="80"/>
        <item x="263"/>
        <item x="75"/>
        <item x="286"/>
        <item x="578"/>
        <item x="107"/>
        <item x="585"/>
        <item x="571"/>
        <item x="533"/>
        <item x="502"/>
        <item x="59"/>
        <item x="326"/>
        <item x="23"/>
        <item x="307"/>
        <item x="31"/>
        <item x="373"/>
        <item x="404"/>
        <item x="349"/>
        <item x="390"/>
        <item x="91"/>
        <item x="397"/>
        <item x="368"/>
        <item x="242"/>
        <item x="322"/>
        <item x="243"/>
        <item x="577"/>
        <item x="262"/>
        <item x="223"/>
        <item x="117"/>
        <item x="495"/>
        <item x="555"/>
        <item x="372"/>
        <item x="285"/>
        <item x="355"/>
        <item x="124"/>
        <item x="119"/>
        <item x="525"/>
        <item x="486"/>
        <item x="104"/>
        <item x="255"/>
        <item x="476"/>
        <item x="493"/>
        <item x="106"/>
        <item x="319"/>
        <item x="303"/>
        <item x="269"/>
        <item x="488"/>
        <item x="171"/>
        <item x="306"/>
        <item x="166"/>
        <item x="231"/>
        <item x="82"/>
        <item x="594"/>
        <item x="227"/>
        <item x="224"/>
        <item x="53"/>
        <item x="386"/>
        <item x="595"/>
        <item x="617"/>
        <item x="74"/>
        <item x="266"/>
        <item x="208"/>
        <item x="369"/>
        <item x="357"/>
        <item x="359"/>
        <item x="557"/>
        <item x="5"/>
        <item x="2"/>
        <item x="283"/>
        <item x="67"/>
        <item x="480"/>
        <item x="305"/>
        <item x="142"/>
        <item x="199"/>
        <item x="310"/>
        <item x="114"/>
        <item x="17"/>
        <item x="328"/>
        <item x="46"/>
        <item x="103"/>
        <item x="41"/>
        <item x="37"/>
        <item x="72"/>
        <item x="249"/>
        <item x="256"/>
        <item x="96"/>
        <item x="209"/>
        <item x="76"/>
        <item x="508"/>
        <item x="482"/>
        <item x="367"/>
        <item x="444"/>
        <item x="321"/>
        <item x="258"/>
        <item x="400"/>
        <item x="79"/>
        <item x="172"/>
        <item x="294"/>
        <item x="620"/>
        <item x="600"/>
        <item x="21"/>
        <item x="336"/>
        <item x="546"/>
        <item x="616"/>
        <item x="510"/>
        <item x="604"/>
        <item x="543"/>
        <item x="147"/>
        <item x="293"/>
        <item x="94"/>
        <item x="320"/>
        <item x="385"/>
        <item x="150"/>
        <item x="149"/>
        <item x="291"/>
        <item x="112"/>
        <item x="454"/>
        <item x="185"/>
        <item x="186"/>
        <item x="205"/>
        <item x="195"/>
        <item x="189"/>
        <item x="177"/>
        <item x="182"/>
        <item t="default"/>
      </items>
    </pivotField>
    <pivotField showAll="0">
      <items count="93">
        <item x="19"/>
        <item x="63"/>
        <item x="50"/>
        <item x="24"/>
        <item x="6"/>
        <item x="11"/>
        <item x="18"/>
        <item x="68"/>
        <item x="15"/>
        <item x="2"/>
        <item x="59"/>
        <item x="21"/>
        <item x="67"/>
        <item x="32"/>
        <item x="60"/>
        <item x="12"/>
        <item x="66"/>
        <item x="0"/>
        <item x="53"/>
        <item x="64"/>
        <item x="86"/>
        <item x="56"/>
        <item x="43"/>
        <item x="49"/>
        <item x="48"/>
        <item x="14"/>
        <item x="44"/>
        <item x="1"/>
        <item x="54"/>
        <item x="91"/>
        <item x="37"/>
        <item x="90"/>
        <item x="89"/>
        <item x="46"/>
        <item x="61"/>
        <item x="13"/>
        <item x="58"/>
        <item x="57"/>
        <item x="34"/>
        <item x="27"/>
        <item x="88"/>
        <item x="87"/>
        <item x="25"/>
        <item x="70"/>
        <item x="3"/>
        <item x="81"/>
        <item x="82"/>
        <item x="85"/>
        <item x="75"/>
        <item x="38"/>
        <item x="7"/>
        <item x="79"/>
        <item x="52"/>
        <item x="20"/>
        <item x="72"/>
        <item x="5"/>
        <item x="65"/>
        <item x="40"/>
        <item x="41"/>
        <item x="36"/>
        <item x="8"/>
        <item x="84"/>
        <item x="16"/>
        <item x="69"/>
        <item x="77"/>
        <item x="22"/>
        <item x="4"/>
        <item x="73"/>
        <item x="26"/>
        <item x="28"/>
        <item x="33"/>
        <item x="71"/>
        <item x="29"/>
        <item x="80"/>
        <item x="9"/>
        <item x="23"/>
        <item x="35"/>
        <item x="31"/>
        <item x="74"/>
        <item x="76"/>
        <item x="30"/>
        <item x="47"/>
        <item x="62"/>
        <item x="17"/>
        <item x="42"/>
        <item x="39"/>
        <item x="51"/>
        <item x="45"/>
        <item x="83"/>
        <item x="10"/>
        <item x="78"/>
        <item x="55"/>
        <item t="default"/>
      </items>
    </pivotField>
    <pivotField showAll="0">
      <items count="4">
        <item x="1"/>
        <item x="0"/>
        <item x="2"/>
        <item t="default"/>
      </items>
    </pivotField>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Living_Cost_Index" fld="7" subtotal="average" baseField="0" baseItem="0" numFmtId="2"/>
  </dataFields>
  <formats count="3">
    <format dxfId="11">
      <pivotArea dataOnly="0" labelOnly="1" outline="0" axis="axisValues" fieldPosition="0"/>
    </format>
    <format dxfId="10">
      <pivotArea outline="0" fieldPosition="0">
        <references count="1">
          <reference field="4294967294" count="1">
            <x v="0"/>
          </reference>
        </references>
      </pivotArea>
    </format>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24B954-2295-4D3A-9062-462F34FA2683}" name="PivotTable18" cacheId="3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13" firstHeaderRow="0" firstDataRow="0" firstDataCol="0"/>
  <pivotFields count="14">
    <pivotField showAll="0">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pivotField>
    <pivotField showAll="0">
      <items count="557">
        <item x="254"/>
        <item x="81"/>
        <item x="43"/>
        <item x="163"/>
        <item x="190"/>
        <item x="357"/>
        <item x="464"/>
        <item x="68"/>
        <item x="367"/>
        <item x="387"/>
        <item x="531"/>
        <item x="372"/>
        <item x="515"/>
        <item x="555"/>
        <item x="361"/>
        <item x="465"/>
        <item x="490"/>
        <item x="6"/>
        <item x="536"/>
        <item x="324"/>
        <item x="19"/>
        <item x="488"/>
        <item x="339"/>
        <item x="332"/>
        <item x="431"/>
        <item x="77"/>
        <item x="208"/>
        <item x="381"/>
        <item x="123"/>
        <item x="243"/>
        <item x="20"/>
        <item x="16"/>
        <item x="21"/>
        <item x="279"/>
        <item x="230"/>
        <item x="90"/>
        <item x="392"/>
        <item x="42"/>
        <item x="548"/>
        <item x="124"/>
        <item x="53"/>
        <item x="399"/>
        <item x="33"/>
        <item x="195"/>
        <item x="12"/>
        <item x="460"/>
        <item x="105"/>
        <item x="502"/>
        <item x="396"/>
        <item x="246"/>
        <item x="48"/>
        <item x="52"/>
        <item x="156"/>
        <item x="418"/>
        <item x="302"/>
        <item x="101"/>
        <item x="454"/>
        <item x="257"/>
        <item x="384"/>
        <item x="298"/>
        <item x="234"/>
        <item x="149"/>
        <item x="414"/>
        <item x="30"/>
        <item x="95"/>
        <item x="277"/>
        <item x="407"/>
        <item x="84"/>
        <item x="262"/>
        <item x="228"/>
        <item x="22"/>
        <item x="203"/>
        <item x="18"/>
        <item x="405"/>
        <item x="385"/>
        <item x="323"/>
        <item x="131"/>
        <item x="520"/>
        <item x="486"/>
        <item x="335"/>
        <item x="15"/>
        <item x="468"/>
        <item x="130"/>
        <item x="118"/>
        <item x="393"/>
        <item x="0"/>
        <item x="358"/>
        <item x="36"/>
        <item x="480"/>
        <item x="129"/>
        <item x="104"/>
        <item x="415"/>
        <item x="430"/>
        <item x="533"/>
        <item x="319"/>
        <item x="170"/>
        <item x="364"/>
        <item x="177"/>
        <item x="356"/>
        <item x="89"/>
        <item x="458"/>
        <item x="350"/>
        <item x="489"/>
        <item x="506"/>
        <item x="273"/>
        <item x="390"/>
        <item x="275"/>
        <item x="186"/>
        <item x="233"/>
        <item x="182"/>
        <item x="411"/>
        <item x="481"/>
        <item x="11"/>
        <item x="432"/>
        <item x="236"/>
        <item x="187"/>
        <item x="215"/>
        <item x="417"/>
        <item x="475"/>
        <item x="445"/>
        <item x="546"/>
        <item x="171"/>
        <item x="46"/>
        <item x="547"/>
        <item x="83"/>
        <item x="74"/>
        <item x="474"/>
        <item x="97"/>
        <item x="217"/>
        <item x="326"/>
        <item x="34"/>
        <item x="359"/>
        <item x="419"/>
        <item x="239"/>
        <item x="541"/>
        <item x="498"/>
        <item x="408"/>
        <item x="532"/>
        <item x="320"/>
        <item x="78"/>
        <item x="125"/>
        <item x="14"/>
        <item x="456"/>
        <item x="199"/>
        <item x="276"/>
        <item x="92"/>
        <item x="188"/>
        <item x="40"/>
        <item x="136"/>
        <item x="137"/>
        <item x="263"/>
        <item x="391"/>
        <item x="331"/>
        <item x="245"/>
        <item x="194"/>
        <item x="197"/>
        <item x="441"/>
        <item x="282"/>
        <item x="437"/>
        <item x="303"/>
        <item x="373"/>
        <item x="232"/>
        <item x="87"/>
        <item x="159"/>
        <item x="382"/>
        <item x="62"/>
        <item x="286"/>
        <item x="447"/>
        <item x="184"/>
        <item x="45"/>
        <item x="406"/>
        <item x="155"/>
        <item x="325"/>
        <item x="455"/>
        <item x="366"/>
        <item x="260"/>
        <item x="41"/>
        <item x="70"/>
        <item x="274"/>
        <item x="307"/>
        <item x="290"/>
        <item x="219"/>
        <item x="147"/>
        <item x="138"/>
        <item x="296"/>
        <item x="167"/>
        <item x="467"/>
        <item x="172"/>
        <item x="337"/>
        <item x="398"/>
        <item x="108"/>
        <item x="80"/>
        <item x="106"/>
        <item x="165"/>
        <item x="86"/>
        <item x="341"/>
        <item x="370"/>
        <item x="507"/>
        <item x="32"/>
        <item x="56"/>
        <item x="299"/>
        <item x="201"/>
        <item x="269"/>
        <item x="67"/>
        <item x="495"/>
        <item x="135"/>
        <item x="71"/>
        <item x="24"/>
        <item x="267"/>
        <item x="209"/>
        <item x="369"/>
        <item x="401"/>
        <item x="175"/>
        <item x="305"/>
        <item x="309"/>
        <item x="477"/>
        <item x="511"/>
        <item x="120"/>
        <item x="127"/>
        <item x="328"/>
        <item x="132"/>
        <item x="539"/>
        <item x="85"/>
        <item x="268"/>
        <item x="540"/>
        <item x="483"/>
        <item x="258"/>
        <item x="66"/>
        <item x="379"/>
        <item x="82"/>
        <item x="283"/>
        <item x="416"/>
        <item x="344"/>
        <item x="334"/>
        <item x="352"/>
        <item x="210"/>
        <item x="198"/>
        <item x="516"/>
        <item x="360"/>
        <item x="514"/>
        <item x="220"/>
        <item x="402"/>
        <item x="310"/>
        <item x="65"/>
        <item x="259"/>
        <item x="349"/>
        <item x="404"/>
        <item x="517"/>
        <item x="526"/>
        <item x="389"/>
        <item x="264"/>
        <item x="47"/>
        <item x="542"/>
        <item x="472"/>
        <item x="265"/>
        <item x="499"/>
        <item x="500"/>
        <item x="59"/>
        <item x="497"/>
        <item x="446"/>
        <item x="436"/>
        <item x="134"/>
        <item x="206"/>
        <item x="261"/>
        <item x="434"/>
        <item x="154"/>
        <item x="98"/>
        <item x="191"/>
        <item x="143"/>
        <item x="315"/>
        <item x="322"/>
        <item x="346"/>
        <item x="150"/>
        <item x="425"/>
        <item x="427"/>
        <item x="237"/>
        <item x="278"/>
        <item x="295"/>
        <item x="25"/>
        <item x="231"/>
        <item x="189"/>
        <item x="501"/>
        <item x="410"/>
        <item x="482"/>
        <item x="1"/>
        <item x="107"/>
        <item x="180"/>
        <item x="202"/>
        <item x="336"/>
        <item x="161"/>
        <item x="158"/>
        <item x="37"/>
        <item x="386"/>
        <item x="508"/>
        <item x="256"/>
        <item x="146"/>
        <item x="139"/>
        <item x="93"/>
        <item x="287"/>
        <item x="553"/>
        <item x="409"/>
        <item x="478"/>
        <item x="461"/>
        <item x="49"/>
        <item x="376"/>
        <item x="509"/>
        <item x="444"/>
        <item x="545"/>
        <item x="519"/>
        <item x="238"/>
        <item x="388"/>
        <item x="543"/>
        <item x="550"/>
        <item x="3"/>
        <item x="453"/>
        <item x="311"/>
        <item x="122"/>
        <item x="54"/>
        <item x="96"/>
        <item x="342"/>
        <item x="544"/>
        <item x="440"/>
        <item x="223"/>
        <item x="351"/>
        <item x="291"/>
        <item x="462"/>
        <item x="153"/>
        <item x="221"/>
        <item x="121"/>
        <item x="492"/>
        <item x="355"/>
        <item x="4"/>
        <item x="60"/>
        <item x="375"/>
        <item x="528"/>
        <item x="166"/>
        <item x="308"/>
        <item x="91"/>
        <item x="160"/>
        <item x="178"/>
        <item x="126"/>
        <item x="72"/>
        <item x="148"/>
        <item x="421"/>
        <item x="140"/>
        <item x="554"/>
        <item x="518"/>
        <item x="214"/>
        <item x="103"/>
        <item x="525"/>
        <item x="510"/>
        <item x="330"/>
        <item x="248"/>
        <item x="524"/>
        <item x="473"/>
        <item x="58"/>
        <item x="442"/>
        <item x="57"/>
        <item x="23"/>
        <item x="457"/>
        <item x="252"/>
        <item x="31"/>
        <item x="216"/>
        <item x="318"/>
        <item x="280"/>
        <item x="466"/>
        <item x="449"/>
        <item x="8"/>
        <item x="294"/>
        <item x="493"/>
        <item x="333"/>
        <item x="538"/>
        <item x="69"/>
        <item x="88"/>
        <item x="365"/>
        <item x="340"/>
        <item x="313"/>
        <item x="116"/>
        <item x="452"/>
        <item x="471"/>
        <item x="211"/>
        <item x="174"/>
        <item x="371"/>
        <item x="241"/>
        <item x="272"/>
        <item x="363"/>
        <item x="212"/>
        <item x="400"/>
        <item x="28"/>
        <item x="227"/>
        <item x="179"/>
        <item x="301"/>
        <item x="450"/>
        <item x="374"/>
        <item x="110"/>
        <item x="204"/>
        <item x="306"/>
        <item x="459"/>
        <item x="424"/>
        <item x="522"/>
        <item x="185"/>
        <item x="377"/>
        <item x="192"/>
        <item x="368"/>
        <item x="112"/>
        <item x="151"/>
        <item x="383"/>
        <item x="314"/>
        <item x="469"/>
        <item x="435"/>
        <item x="354"/>
        <item x="485"/>
        <item x="133"/>
        <item x="288"/>
        <item x="439"/>
        <item x="253"/>
        <item x="353"/>
        <item x="55"/>
        <item x="205"/>
        <item x="494"/>
        <item x="327"/>
        <item x="484"/>
        <item x="317"/>
        <item x="523"/>
        <item x="470"/>
        <item x="378"/>
        <item x="300"/>
        <item x="348"/>
        <item x="512"/>
        <item x="38"/>
        <item x="235"/>
        <item x="321"/>
        <item x="521"/>
        <item x="443"/>
        <item x="505"/>
        <item x="513"/>
        <item x="537"/>
        <item x="429"/>
        <item x="423"/>
        <item x="119"/>
        <item x="63"/>
        <item x="114"/>
        <item x="39"/>
        <item x="413"/>
        <item x="61"/>
        <item x="13"/>
        <item x="297"/>
        <item x="426"/>
        <item x="552"/>
        <item x="164"/>
        <item x="362"/>
        <item x="100"/>
        <item x="128"/>
        <item x="115"/>
        <item x="527"/>
        <item x="491"/>
        <item x="7"/>
        <item x="266"/>
        <item x="242"/>
        <item x="463"/>
        <item x="380"/>
        <item x="529"/>
        <item x="433"/>
        <item x="102"/>
        <item x="428"/>
        <item x="157"/>
        <item x="113"/>
        <item x="29"/>
        <item x="251"/>
        <item x="10"/>
        <item x="152"/>
        <item x="200"/>
        <item x="79"/>
        <item x="534"/>
        <item x="226"/>
        <item x="76"/>
        <item x="403"/>
        <item x="196"/>
        <item x="193"/>
        <item x="176"/>
        <item x="207"/>
        <item x="51"/>
        <item x="530"/>
        <item x="329"/>
        <item x="535"/>
        <item x="551"/>
        <item x="549"/>
        <item x="27"/>
        <item x="487"/>
        <item x="247"/>
        <item x="451"/>
        <item x="504"/>
        <item x="503"/>
        <item x="26"/>
        <item x="94"/>
        <item x="289"/>
        <item x="225"/>
        <item x="316"/>
        <item x="141"/>
        <item x="395"/>
        <item x="496"/>
        <item x="5"/>
        <item x="338"/>
        <item x="229"/>
        <item x="2"/>
        <item x="145"/>
        <item x="75"/>
        <item x="476"/>
        <item x="224"/>
        <item x="249"/>
        <item x="244"/>
        <item x="438"/>
        <item x="64"/>
        <item x="420"/>
        <item x="293"/>
        <item x="250"/>
        <item x="173"/>
        <item x="213"/>
        <item x="281"/>
        <item x="271"/>
        <item x="181"/>
        <item x="117"/>
        <item x="142"/>
        <item x="285"/>
        <item x="255"/>
        <item x="292"/>
        <item x="50"/>
        <item x="479"/>
        <item x="347"/>
        <item x="109"/>
        <item x="17"/>
        <item x="284"/>
        <item x="304"/>
        <item x="144"/>
        <item x="412"/>
        <item x="44"/>
        <item x="99"/>
        <item x="240"/>
        <item x="35"/>
        <item x="270"/>
        <item x="183"/>
        <item x="218"/>
        <item x="222"/>
        <item x="111"/>
        <item x="162"/>
        <item x="73"/>
        <item x="394"/>
        <item x="168"/>
        <item x="345"/>
        <item x="169"/>
        <item x="343"/>
        <item x="397"/>
        <item x="448"/>
        <item x="422"/>
        <item x="312"/>
        <item x="9"/>
        <item t="default"/>
      </items>
    </pivotField>
    <pivotField showAll="0">
      <items count="623">
        <item x="603"/>
        <item x="160"/>
        <item x="158"/>
        <item x="45"/>
        <item x="299"/>
        <item x="178"/>
        <item x="511"/>
        <item x="591"/>
        <item x="460"/>
        <item x="474"/>
        <item x="424"/>
        <item x="610"/>
        <item x="426"/>
        <item x="396"/>
        <item x="419"/>
        <item x="461"/>
        <item x="494"/>
        <item x="135"/>
        <item x="130"/>
        <item x="568"/>
        <item x="520"/>
        <item x="420"/>
        <item x="388"/>
        <item x="596"/>
        <item x="279"/>
        <item x="553"/>
        <item x="545"/>
        <item x="344"/>
        <item x="97"/>
        <item x="239"/>
        <item x="440"/>
        <item x="377"/>
        <item x="296"/>
        <item x="583"/>
        <item x="38"/>
        <item x="334"/>
        <item x="449"/>
        <item x="549"/>
        <item x="537"/>
        <item x="559"/>
        <item x="464"/>
        <item x="125"/>
        <item x="469"/>
        <item x="234"/>
        <item x="378"/>
        <item x="580"/>
        <item x="547"/>
        <item x="504"/>
        <item x="410"/>
        <item x="108"/>
        <item x="121"/>
        <item x="371"/>
        <item x="324"/>
        <item x="478"/>
        <item x="77"/>
        <item x="28"/>
        <item x="414"/>
        <item x="196"/>
        <item x="197"/>
        <item x="129"/>
        <item x="204"/>
        <item x="192"/>
        <item x="131"/>
        <item x="132"/>
        <item x="246"/>
        <item x="567"/>
        <item x="487"/>
        <item x="113"/>
        <item x="248"/>
        <item x="402"/>
        <item x="473"/>
        <item x="592"/>
        <item x="193"/>
        <item x="95"/>
        <item x="219"/>
        <item x="501"/>
        <item x="384"/>
        <item x="168"/>
        <item x="57"/>
        <item x="401"/>
        <item x="527"/>
        <item x="34"/>
        <item x="9"/>
        <item x="472"/>
        <item x="593"/>
        <item x="270"/>
        <item x="579"/>
        <item x="375"/>
        <item x="54"/>
        <item x="180"/>
        <item x="441"/>
        <item x="457"/>
        <item x="466"/>
        <item x="20"/>
        <item x="381"/>
        <item x="515"/>
        <item x="275"/>
        <item x="161"/>
        <item x="73"/>
        <item x="575"/>
        <item x="203"/>
        <item x="190"/>
        <item x="0"/>
        <item x="490"/>
        <item x="398"/>
        <item x="140"/>
        <item x="33"/>
        <item x="232"/>
        <item x="70"/>
        <item x="24"/>
        <item x="65"/>
        <item x="544"/>
        <item x="273"/>
        <item x="458"/>
        <item x="561"/>
        <item x="413"/>
        <item x="417"/>
        <item x="428"/>
        <item x="438"/>
        <item x="422"/>
        <item x="432"/>
        <item x="612"/>
        <item x="598"/>
        <item x="1"/>
        <item x="201"/>
        <item x="44"/>
        <item x="565"/>
        <item x="165"/>
        <item x="159"/>
        <item x="451"/>
        <item x="463"/>
        <item x="483"/>
        <item x="534"/>
        <item x="572"/>
        <item x="608"/>
        <item x="295"/>
        <item x="597"/>
        <item x="383"/>
        <item x="448"/>
        <item x="78"/>
        <item x="350"/>
        <item x="408"/>
        <item x="93"/>
        <item x="48"/>
        <item x="69"/>
        <item x="335"/>
        <item x="391"/>
        <item x="241"/>
        <item x="605"/>
        <item x="415"/>
        <item x="576"/>
        <item x="418"/>
        <item x="574"/>
        <item x="601"/>
        <item x="621"/>
        <item x="138"/>
        <item x="217"/>
        <item x="251"/>
        <item x="85"/>
        <item x="68"/>
        <item x="188"/>
        <item x="10"/>
        <item x="18"/>
        <item x="560"/>
        <item x="532"/>
        <item x="61"/>
        <item x="194"/>
        <item x="64"/>
        <item x="259"/>
        <item x="237"/>
        <item x="260"/>
        <item x="115"/>
        <item x="528"/>
        <item x="552"/>
        <item x="536"/>
        <item x="289"/>
        <item x="89"/>
        <item x="148"/>
        <item x="337"/>
        <item x="329"/>
        <item x="338"/>
        <item x="300"/>
        <item x="470"/>
        <item x="233"/>
        <item x="39"/>
        <item x="315"/>
        <item x="456"/>
        <item x="450"/>
        <item x="569"/>
        <item x="144"/>
        <item x="434"/>
        <item x="609"/>
        <item x="331"/>
        <item x="287"/>
        <item x="252"/>
        <item x="111"/>
        <item x="118"/>
        <item x="468"/>
        <item x="379"/>
        <item x="30"/>
        <item x="517"/>
        <item x="484"/>
        <item x="264"/>
        <item x="370"/>
        <item x="126"/>
        <item x="611"/>
        <item x="62"/>
        <item x="588"/>
        <item x="183"/>
        <item x="151"/>
        <item x="27"/>
        <item x="128"/>
        <item x="492"/>
        <item x="513"/>
        <item x="506"/>
        <item x="499"/>
        <item x="7"/>
        <item x="214"/>
        <item x="509"/>
        <item x="110"/>
        <item x="312"/>
        <item x="282"/>
        <item x="245"/>
        <item x="309"/>
        <item x="387"/>
        <item x="298"/>
        <item x="314"/>
        <item x="156"/>
        <item x="36"/>
        <item x="47"/>
        <item x="155"/>
        <item x="584"/>
        <item x="211"/>
        <item x="216"/>
        <item x="60"/>
        <item x="471"/>
        <item x="247"/>
        <item x="179"/>
        <item x="531"/>
        <item x="56"/>
        <item x="348"/>
        <item x="455"/>
        <item x="429"/>
        <item x="292"/>
        <item x="200"/>
        <item x="423"/>
        <item x="206"/>
        <item x="489"/>
        <item x="485"/>
        <item x="412"/>
        <item x="212"/>
        <item x="15"/>
        <item x="550"/>
        <item x="235"/>
        <item x="254"/>
        <item x="109"/>
        <item x="265"/>
        <item x="145"/>
        <item x="436"/>
        <item x="452"/>
        <item x="267"/>
        <item x="308"/>
        <item x="236"/>
        <item x="529"/>
        <item x="582"/>
        <item x="84"/>
        <item x="462"/>
        <item x="405"/>
        <item x="573"/>
        <item x="343"/>
        <item x="406"/>
        <item x="13"/>
        <item x="181"/>
        <item x="564"/>
        <item x="587"/>
        <item x="187"/>
        <item x="435"/>
        <item x="152"/>
        <item x="425"/>
        <item x="154"/>
        <item x="157"/>
        <item x="523"/>
        <item x="8"/>
        <item x="271"/>
        <item x="409"/>
        <item x="29"/>
        <item x="184"/>
        <item x="191"/>
        <item x="202"/>
        <item x="433"/>
        <item x="590"/>
        <item x="133"/>
        <item x="153"/>
        <item x="238"/>
        <item x="394"/>
        <item x="615"/>
        <item x="302"/>
        <item x="297"/>
        <item x="374"/>
        <item x="311"/>
        <item x="4"/>
        <item x="539"/>
        <item x="346"/>
        <item x="361"/>
        <item x="26"/>
        <item x="215"/>
        <item x="439"/>
        <item x="146"/>
        <item x="63"/>
        <item x="66"/>
        <item x="395"/>
        <item x="467"/>
        <item x="14"/>
        <item x="12"/>
        <item x="87"/>
        <item x="86"/>
        <item x="35"/>
        <item x="81"/>
        <item x="141"/>
        <item x="345"/>
        <item x="83"/>
        <item x="272"/>
        <item x="341"/>
        <item x="430"/>
        <item x="376"/>
        <item x="50"/>
        <item x="278"/>
        <item x="100"/>
        <item x="40"/>
        <item x="207"/>
        <item x="393"/>
        <item x="503"/>
        <item x="479"/>
        <item x="356"/>
        <item x="437"/>
        <item x="427"/>
        <item x="421"/>
        <item x="431"/>
        <item x="465"/>
        <item x="304"/>
        <item x="618"/>
        <item x="122"/>
        <item x="614"/>
        <item x="198"/>
        <item x="244"/>
        <item x="392"/>
        <item x="332"/>
        <item x="619"/>
        <item x="127"/>
        <item x="261"/>
        <item x="416"/>
        <item x="607"/>
        <item x="366"/>
        <item x="538"/>
        <item x="496"/>
        <item x="447"/>
        <item x="475"/>
        <item x="535"/>
        <item x="613"/>
        <item x="351"/>
        <item x="522"/>
        <item x="581"/>
        <item x="554"/>
        <item x="512"/>
        <item x="352"/>
        <item x="589"/>
        <item x="606"/>
        <item x="459"/>
        <item x="453"/>
        <item x="566"/>
        <item x="542"/>
        <item x="558"/>
        <item x="443"/>
        <item x="498"/>
        <item x="530"/>
        <item x="340"/>
        <item x="599"/>
        <item x="491"/>
        <item x="505"/>
        <item x="519"/>
        <item x="518"/>
        <item x="551"/>
        <item x="526"/>
        <item x="164"/>
        <item x="120"/>
        <item x="162"/>
        <item x="602"/>
        <item x="347"/>
        <item x="342"/>
        <item x="281"/>
        <item x="101"/>
        <item x="548"/>
        <item x="221"/>
        <item x="71"/>
        <item x="317"/>
        <item x="446"/>
        <item x="497"/>
        <item x="42"/>
        <item x="333"/>
        <item x="6"/>
        <item x="389"/>
        <item x="16"/>
        <item x="330"/>
        <item x="521"/>
        <item x="55"/>
        <item x="175"/>
        <item x="226"/>
        <item x="563"/>
        <item x="301"/>
        <item x="170"/>
        <item x="105"/>
        <item x="353"/>
        <item x="277"/>
        <item x="163"/>
        <item x="316"/>
        <item x="22"/>
        <item x="52"/>
        <item x="136"/>
        <item x="123"/>
        <item x="32"/>
        <item x="268"/>
        <item x="323"/>
        <item x="540"/>
        <item x="134"/>
        <item x="514"/>
        <item x="92"/>
        <item x="325"/>
        <item x="276"/>
        <item x="98"/>
        <item x="541"/>
        <item x="11"/>
        <item x="477"/>
        <item x="354"/>
        <item x="481"/>
        <item x="382"/>
        <item x="288"/>
        <item x="411"/>
        <item x="516"/>
        <item x="230"/>
        <item x="318"/>
        <item x="218"/>
        <item x="225"/>
        <item x="228"/>
        <item x="358"/>
        <item x="213"/>
        <item x="90"/>
        <item x="173"/>
        <item x="507"/>
        <item x="169"/>
        <item x="524"/>
        <item x="43"/>
        <item x="362"/>
        <item x="250"/>
        <item x="143"/>
        <item x="274"/>
        <item x="556"/>
        <item x="58"/>
        <item x="240"/>
        <item x="442"/>
        <item x="210"/>
        <item x="137"/>
        <item x="360"/>
        <item x="364"/>
        <item x="88"/>
        <item x="313"/>
        <item x="229"/>
        <item x="365"/>
        <item x="586"/>
        <item x="139"/>
        <item x="102"/>
        <item x="222"/>
        <item x="403"/>
        <item x="290"/>
        <item x="284"/>
        <item x="25"/>
        <item x="220"/>
        <item x="562"/>
        <item x="176"/>
        <item x="445"/>
        <item x="280"/>
        <item x="380"/>
        <item x="339"/>
        <item x="49"/>
        <item x="51"/>
        <item x="116"/>
        <item x="570"/>
        <item x="3"/>
        <item x="19"/>
        <item x="327"/>
        <item x="99"/>
        <item x="399"/>
        <item x="500"/>
        <item x="407"/>
        <item x="167"/>
        <item x="253"/>
        <item x="363"/>
        <item x="174"/>
        <item x="257"/>
        <item x="80"/>
        <item x="263"/>
        <item x="75"/>
        <item x="286"/>
        <item x="578"/>
        <item x="107"/>
        <item x="585"/>
        <item x="571"/>
        <item x="533"/>
        <item x="502"/>
        <item x="59"/>
        <item x="326"/>
        <item x="23"/>
        <item x="307"/>
        <item x="31"/>
        <item x="373"/>
        <item x="404"/>
        <item x="349"/>
        <item x="390"/>
        <item x="91"/>
        <item x="397"/>
        <item x="368"/>
        <item x="242"/>
        <item x="322"/>
        <item x="243"/>
        <item x="577"/>
        <item x="262"/>
        <item x="223"/>
        <item x="117"/>
        <item x="495"/>
        <item x="555"/>
        <item x="372"/>
        <item x="285"/>
        <item x="355"/>
        <item x="124"/>
        <item x="119"/>
        <item x="525"/>
        <item x="486"/>
        <item x="104"/>
        <item x="255"/>
        <item x="476"/>
        <item x="493"/>
        <item x="106"/>
        <item x="319"/>
        <item x="303"/>
        <item x="269"/>
        <item x="488"/>
        <item x="171"/>
        <item x="306"/>
        <item x="166"/>
        <item x="231"/>
        <item x="82"/>
        <item x="594"/>
        <item x="227"/>
        <item x="224"/>
        <item x="53"/>
        <item x="386"/>
        <item x="595"/>
        <item x="617"/>
        <item x="74"/>
        <item x="266"/>
        <item x="208"/>
        <item x="369"/>
        <item x="357"/>
        <item x="359"/>
        <item x="557"/>
        <item x="5"/>
        <item x="2"/>
        <item x="283"/>
        <item x="67"/>
        <item x="480"/>
        <item x="305"/>
        <item x="142"/>
        <item x="199"/>
        <item x="310"/>
        <item x="114"/>
        <item x="17"/>
        <item x="328"/>
        <item x="46"/>
        <item x="103"/>
        <item x="41"/>
        <item x="37"/>
        <item x="72"/>
        <item x="249"/>
        <item x="256"/>
        <item x="96"/>
        <item x="209"/>
        <item x="76"/>
        <item x="508"/>
        <item x="482"/>
        <item x="367"/>
        <item x="444"/>
        <item x="321"/>
        <item x="258"/>
        <item x="400"/>
        <item x="79"/>
        <item x="172"/>
        <item x="294"/>
        <item x="620"/>
        <item x="600"/>
        <item x="21"/>
        <item x="336"/>
        <item x="546"/>
        <item x="616"/>
        <item x="510"/>
        <item x="604"/>
        <item x="543"/>
        <item x="147"/>
        <item x="293"/>
        <item x="94"/>
        <item x="320"/>
        <item x="385"/>
        <item x="150"/>
        <item x="149"/>
        <item x="291"/>
        <item x="112"/>
        <item x="454"/>
        <item x="185"/>
        <item x="186"/>
        <item x="205"/>
        <item x="195"/>
        <item x="189"/>
        <item x="177"/>
        <item x="182"/>
        <item t="default"/>
      </items>
    </pivotField>
    <pivotField axis="axisRow" showAll="0" sortType="descending">
      <items count="93">
        <item x="19"/>
        <item x="63"/>
        <item x="50"/>
        <item x="24"/>
        <item x="6"/>
        <item x="11"/>
        <item x="18"/>
        <item x="68"/>
        <item x="15"/>
        <item x="2"/>
        <item x="59"/>
        <item x="21"/>
        <item x="67"/>
        <item x="32"/>
        <item x="60"/>
        <item x="12"/>
        <item x="66"/>
        <item x="0"/>
        <item x="53"/>
        <item x="64"/>
        <item x="86"/>
        <item x="56"/>
        <item x="43"/>
        <item x="49"/>
        <item x="48"/>
        <item x="14"/>
        <item x="44"/>
        <item x="1"/>
        <item x="54"/>
        <item x="91"/>
        <item x="37"/>
        <item x="90"/>
        <item x="89"/>
        <item x="46"/>
        <item x="61"/>
        <item x="13"/>
        <item x="58"/>
        <item x="57"/>
        <item x="34"/>
        <item x="27"/>
        <item x="88"/>
        <item x="87"/>
        <item x="25"/>
        <item x="70"/>
        <item x="3"/>
        <item x="81"/>
        <item x="82"/>
        <item x="85"/>
        <item x="75"/>
        <item x="38"/>
        <item x="7"/>
        <item x="79"/>
        <item x="52"/>
        <item x="20"/>
        <item x="72"/>
        <item x="5"/>
        <item x="65"/>
        <item x="40"/>
        <item x="41"/>
        <item x="36"/>
        <item x="8"/>
        <item x="84"/>
        <item x="16"/>
        <item x="69"/>
        <item x="77"/>
        <item x="22"/>
        <item x="4"/>
        <item x="73"/>
        <item x="26"/>
        <item x="28"/>
        <item x="33"/>
        <item x="71"/>
        <item x="29"/>
        <item x="80"/>
        <item x="9"/>
        <item x="23"/>
        <item x="35"/>
        <item x="31"/>
        <item x="74"/>
        <item x="76"/>
        <item x="30"/>
        <item x="47"/>
        <item x="62"/>
        <item x="17"/>
        <item x="42"/>
        <item x="39"/>
        <item x="51"/>
        <item x="45"/>
        <item x="83"/>
        <item x="10"/>
        <item x="78"/>
        <item x="55"/>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dataField="1" showAll="0"/>
    <pivotField showAll="0"/>
    <pivotField showAll="0"/>
    <pivotField showAll="0"/>
    <pivotField showAll="0"/>
    <pivotField showAll="0"/>
    <pivotField showAll="0"/>
    <pivotField showAll="0"/>
  </pivotFields>
  <rowFields count="1">
    <field x="3"/>
  </rowFields>
  <rowItems count="93">
    <i>
      <x v="17"/>
    </i>
    <i>
      <x v="27"/>
    </i>
    <i>
      <x v="15"/>
    </i>
    <i>
      <x v="4"/>
    </i>
    <i>
      <x v="25"/>
    </i>
    <i>
      <x v="85"/>
    </i>
    <i>
      <x v="57"/>
    </i>
    <i>
      <x v="44"/>
    </i>
    <i>
      <x v="65"/>
    </i>
    <i>
      <x v="74"/>
    </i>
    <i>
      <x v="80"/>
    </i>
    <i>
      <x v="58"/>
    </i>
    <i>
      <x v="84"/>
    </i>
    <i>
      <x v="12"/>
    </i>
    <i>
      <x v="26"/>
    </i>
    <i>
      <x v="9"/>
    </i>
    <i>
      <x v="38"/>
    </i>
    <i>
      <x v="7"/>
    </i>
    <i>
      <x v="49"/>
    </i>
    <i>
      <x v="22"/>
    </i>
    <i>
      <x v="50"/>
    </i>
    <i>
      <x v="39"/>
    </i>
    <i>
      <x/>
    </i>
    <i>
      <x v="61"/>
    </i>
    <i>
      <x v="53"/>
    </i>
    <i>
      <x v="24"/>
    </i>
    <i>
      <x v="11"/>
    </i>
    <i>
      <x v="8"/>
    </i>
    <i>
      <x v="37"/>
    </i>
    <i>
      <x v="28"/>
    </i>
    <i>
      <x v="21"/>
    </i>
    <i>
      <x v="91"/>
    </i>
    <i>
      <x v="6"/>
    </i>
    <i>
      <x v="66"/>
    </i>
    <i>
      <x v="18"/>
    </i>
    <i>
      <x v="76"/>
    </i>
    <i>
      <x v="87"/>
    </i>
    <i>
      <x v="13"/>
    </i>
    <i>
      <x v="5"/>
    </i>
    <i>
      <x v="75"/>
    </i>
    <i>
      <x v="62"/>
    </i>
    <i>
      <x v="47"/>
    </i>
    <i>
      <x v="23"/>
    </i>
    <i>
      <x v="77"/>
    </i>
    <i>
      <x v="55"/>
    </i>
    <i>
      <x v="52"/>
    </i>
    <i>
      <x v="86"/>
    </i>
    <i>
      <x v="19"/>
    </i>
    <i>
      <x v="68"/>
    </i>
    <i>
      <x v="67"/>
    </i>
    <i>
      <x v="35"/>
    </i>
    <i>
      <x v="82"/>
    </i>
    <i>
      <x v="42"/>
    </i>
    <i>
      <x v="3"/>
    </i>
    <i>
      <x v="1"/>
    </i>
    <i>
      <x v="20"/>
    </i>
    <i>
      <x v="56"/>
    </i>
    <i>
      <x v="16"/>
    </i>
    <i>
      <x v="60"/>
    </i>
    <i>
      <x v="30"/>
    </i>
    <i>
      <x v="36"/>
    </i>
    <i>
      <x v="2"/>
    </i>
    <i>
      <x v="34"/>
    </i>
    <i>
      <x v="83"/>
    </i>
    <i>
      <x v="72"/>
    </i>
    <i>
      <x v="10"/>
    </i>
    <i>
      <x v="14"/>
    </i>
    <i>
      <x v="69"/>
    </i>
    <i>
      <x v="81"/>
    </i>
    <i>
      <x v="33"/>
    </i>
    <i>
      <x v="64"/>
    </i>
    <i>
      <x v="59"/>
    </i>
    <i>
      <x v="79"/>
    </i>
    <i>
      <x v="71"/>
    </i>
    <i>
      <x v="63"/>
    </i>
    <i>
      <x v="88"/>
    </i>
    <i>
      <x v="70"/>
    </i>
    <i>
      <x v="89"/>
    </i>
    <i>
      <x v="29"/>
    </i>
    <i>
      <x v="48"/>
    </i>
    <i>
      <x v="43"/>
    </i>
    <i>
      <x v="40"/>
    </i>
    <i>
      <x v="54"/>
    </i>
    <i>
      <x v="46"/>
    </i>
    <i>
      <x v="31"/>
    </i>
    <i>
      <x v="51"/>
    </i>
    <i>
      <x v="78"/>
    </i>
    <i>
      <x v="32"/>
    </i>
    <i>
      <x v="41"/>
    </i>
    <i>
      <x v="90"/>
    </i>
    <i>
      <x v="73"/>
    </i>
    <i>
      <x v="45"/>
    </i>
    <i t="grand">
      <x/>
    </i>
  </rowItems>
  <colItems count="1">
    <i/>
  </colItems>
  <dataFields count="1">
    <dataField name="Sum of Tuition_USD" fld="6" baseField="3" baseItem="17" numFmtId="164"/>
  </dataFields>
  <formats count="2">
    <format dxfId="13">
      <pivotArea dataOnly="0" outline="0" fieldPosition="0">
        <references count="1">
          <reference field="4294967294" count="1">
            <x v="0"/>
          </reference>
        </references>
      </pivotArea>
    </format>
    <format dxfId="12">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D77620-1753-4FD2-AEF3-B4072A0B6CD4}" name="PivotTable6" cacheId="3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P1:Q12" firstHeaderRow="1" firstDataRow="1" firstDataCol="1"/>
  <pivotFields count="14">
    <pivotField showAll="0">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pivotField>
    <pivotField showAll="0">
      <items count="557">
        <item x="254"/>
        <item x="81"/>
        <item x="43"/>
        <item x="163"/>
        <item x="190"/>
        <item x="357"/>
        <item x="464"/>
        <item x="68"/>
        <item x="367"/>
        <item x="387"/>
        <item x="531"/>
        <item x="372"/>
        <item x="515"/>
        <item x="555"/>
        <item x="361"/>
        <item x="465"/>
        <item x="490"/>
        <item x="6"/>
        <item x="536"/>
        <item x="324"/>
        <item x="19"/>
        <item x="488"/>
        <item x="339"/>
        <item x="332"/>
        <item x="431"/>
        <item x="77"/>
        <item x="208"/>
        <item x="381"/>
        <item x="123"/>
        <item x="243"/>
        <item x="20"/>
        <item x="16"/>
        <item x="21"/>
        <item x="279"/>
        <item x="230"/>
        <item x="90"/>
        <item x="392"/>
        <item x="42"/>
        <item x="548"/>
        <item x="124"/>
        <item x="53"/>
        <item x="399"/>
        <item x="33"/>
        <item x="195"/>
        <item x="12"/>
        <item x="460"/>
        <item x="105"/>
        <item x="502"/>
        <item x="396"/>
        <item x="246"/>
        <item x="48"/>
        <item x="52"/>
        <item x="156"/>
        <item x="418"/>
        <item x="302"/>
        <item x="101"/>
        <item x="454"/>
        <item x="257"/>
        <item x="384"/>
        <item x="298"/>
        <item x="234"/>
        <item x="149"/>
        <item x="414"/>
        <item x="30"/>
        <item x="95"/>
        <item x="277"/>
        <item x="407"/>
        <item x="84"/>
        <item x="262"/>
        <item x="228"/>
        <item x="22"/>
        <item x="203"/>
        <item x="18"/>
        <item x="405"/>
        <item x="385"/>
        <item x="323"/>
        <item x="131"/>
        <item x="520"/>
        <item x="486"/>
        <item x="335"/>
        <item x="15"/>
        <item x="468"/>
        <item x="130"/>
        <item x="118"/>
        <item x="393"/>
        <item x="0"/>
        <item x="358"/>
        <item x="36"/>
        <item x="480"/>
        <item x="129"/>
        <item x="104"/>
        <item x="415"/>
        <item x="430"/>
        <item x="533"/>
        <item x="319"/>
        <item x="170"/>
        <item x="364"/>
        <item x="177"/>
        <item x="356"/>
        <item x="89"/>
        <item x="458"/>
        <item x="350"/>
        <item x="489"/>
        <item x="506"/>
        <item x="273"/>
        <item x="390"/>
        <item x="275"/>
        <item x="186"/>
        <item x="233"/>
        <item x="182"/>
        <item x="411"/>
        <item x="481"/>
        <item x="11"/>
        <item x="432"/>
        <item x="236"/>
        <item x="187"/>
        <item x="215"/>
        <item x="417"/>
        <item x="475"/>
        <item x="445"/>
        <item x="546"/>
        <item x="171"/>
        <item x="46"/>
        <item x="547"/>
        <item x="83"/>
        <item x="74"/>
        <item x="474"/>
        <item x="97"/>
        <item x="217"/>
        <item x="326"/>
        <item x="34"/>
        <item x="359"/>
        <item x="419"/>
        <item x="239"/>
        <item x="541"/>
        <item x="498"/>
        <item x="408"/>
        <item x="532"/>
        <item x="320"/>
        <item x="78"/>
        <item x="125"/>
        <item x="14"/>
        <item x="456"/>
        <item x="199"/>
        <item x="276"/>
        <item x="92"/>
        <item x="188"/>
        <item x="40"/>
        <item x="136"/>
        <item x="137"/>
        <item x="263"/>
        <item x="391"/>
        <item x="331"/>
        <item x="245"/>
        <item x="194"/>
        <item x="197"/>
        <item x="441"/>
        <item x="282"/>
        <item x="437"/>
        <item x="303"/>
        <item x="373"/>
        <item x="232"/>
        <item x="87"/>
        <item x="159"/>
        <item x="382"/>
        <item x="62"/>
        <item x="286"/>
        <item x="447"/>
        <item x="184"/>
        <item x="45"/>
        <item x="406"/>
        <item x="155"/>
        <item x="325"/>
        <item x="455"/>
        <item x="366"/>
        <item x="260"/>
        <item x="41"/>
        <item x="70"/>
        <item x="274"/>
        <item x="307"/>
        <item x="290"/>
        <item x="219"/>
        <item x="147"/>
        <item x="138"/>
        <item x="296"/>
        <item x="167"/>
        <item x="467"/>
        <item x="172"/>
        <item x="337"/>
        <item x="398"/>
        <item x="108"/>
        <item x="80"/>
        <item x="106"/>
        <item x="165"/>
        <item x="86"/>
        <item x="341"/>
        <item x="370"/>
        <item x="507"/>
        <item x="32"/>
        <item x="56"/>
        <item x="299"/>
        <item x="201"/>
        <item x="269"/>
        <item x="67"/>
        <item x="495"/>
        <item x="135"/>
        <item x="71"/>
        <item x="24"/>
        <item x="267"/>
        <item x="209"/>
        <item x="369"/>
        <item x="401"/>
        <item x="175"/>
        <item x="305"/>
        <item x="309"/>
        <item x="477"/>
        <item x="511"/>
        <item x="120"/>
        <item x="127"/>
        <item x="328"/>
        <item x="132"/>
        <item x="539"/>
        <item x="85"/>
        <item x="268"/>
        <item x="540"/>
        <item x="483"/>
        <item x="258"/>
        <item x="66"/>
        <item x="379"/>
        <item x="82"/>
        <item x="283"/>
        <item x="416"/>
        <item x="344"/>
        <item x="334"/>
        <item x="352"/>
        <item x="210"/>
        <item x="198"/>
        <item x="516"/>
        <item x="360"/>
        <item x="514"/>
        <item x="220"/>
        <item x="402"/>
        <item x="310"/>
        <item x="65"/>
        <item x="259"/>
        <item x="349"/>
        <item x="404"/>
        <item x="517"/>
        <item x="526"/>
        <item x="389"/>
        <item x="264"/>
        <item x="47"/>
        <item x="542"/>
        <item x="472"/>
        <item x="265"/>
        <item x="499"/>
        <item x="500"/>
        <item x="59"/>
        <item x="497"/>
        <item x="446"/>
        <item x="436"/>
        <item x="134"/>
        <item x="206"/>
        <item x="261"/>
        <item x="434"/>
        <item x="154"/>
        <item x="98"/>
        <item x="191"/>
        <item x="143"/>
        <item x="315"/>
        <item x="322"/>
        <item x="346"/>
        <item x="150"/>
        <item x="425"/>
        <item x="427"/>
        <item x="237"/>
        <item x="278"/>
        <item x="295"/>
        <item x="25"/>
        <item x="231"/>
        <item x="189"/>
        <item x="501"/>
        <item x="410"/>
        <item x="482"/>
        <item x="1"/>
        <item x="107"/>
        <item x="180"/>
        <item x="202"/>
        <item x="336"/>
        <item x="161"/>
        <item x="158"/>
        <item x="37"/>
        <item x="386"/>
        <item x="508"/>
        <item x="256"/>
        <item x="146"/>
        <item x="139"/>
        <item x="93"/>
        <item x="287"/>
        <item x="553"/>
        <item x="409"/>
        <item x="478"/>
        <item x="461"/>
        <item x="49"/>
        <item x="376"/>
        <item x="509"/>
        <item x="444"/>
        <item x="545"/>
        <item x="519"/>
        <item x="238"/>
        <item x="388"/>
        <item x="543"/>
        <item x="550"/>
        <item x="3"/>
        <item x="453"/>
        <item x="311"/>
        <item x="122"/>
        <item x="54"/>
        <item x="96"/>
        <item x="342"/>
        <item x="544"/>
        <item x="440"/>
        <item x="223"/>
        <item x="351"/>
        <item x="291"/>
        <item x="462"/>
        <item x="153"/>
        <item x="221"/>
        <item x="121"/>
        <item x="492"/>
        <item x="355"/>
        <item x="4"/>
        <item x="60"/>
        <item x="375"/>
        <item x="528"/>
        <item x="166"/>
        <item x="308"/>
        <item x="91"/>
        <item x="160"/>
        <item x="178"/>
        <item x="126"/>
        <item x="72"/>
        <item x="148"/>
        <item x="421"/>
        <item x="140"/>
        <item x="554"/>
        <item x="518"/>
        <item x="214"/>
        <item x="103"/>
        <item x="525"/>
        <item x="510"/>
        <item x="330"/>
        <item x="248"/>
        <item x="524"/>
        <item x="473"/>
        <item x="58"/>
        <item x="442"/>
        <item x="57"/>
        <item x="23"/>
        <item x="457"/>
        <item x="252"/>
        <item x="31"/>
        <item x="216"/>
        <item x="318"/>
        <item x="280"/>
        <item x="466"/>
        <item x="449"/>
        <item x="8"/>
        <item x="294"/>
        <item x="493"/>
        <item x="333"/>
        <item x="538"/>
        <item x="69"/>
        <item x="88"/>
        <item x="365"/>
        <item x="340"/>
        <item x="313"/>
        <item x="116"/>
        <item x="452"/>
        <item x="471"/>
        <item x="211"/>
        <item x="174"/>
        <item x="371"/>
        <item x="241"/>
        <item x="272"/>
        <item x="363"/>
        <item x="212"/>
        <item x="400"/>
        <item x="28"/>
        <item x="227"/>
        <item x="179"/>
        <item x="301"/>
        <item x="450"/>
        <item x="374"/>
        <item x="110"/>
        <item x="204"/>
        <item x="306"/>
        <item x="459"/>
        <item x="424"/>
        <item x="522"/>
        <item x="185"/>
        <item x="377"/>
        <item x="192"/>
        <item x="368"/>
        <item x="112"/>
        <item x="151"/>
        <item x="383"/>
        <item x="314"/>
        <item x="469"/>
        <item x="435"/>
        <item x="354"/>
        <item x="485"/>
        <item x="133"/>
        <item x="288"/>
        <item x="439"/>
        <item x="253"/>
        <item x="353"/>
        <item x="55"/>
        <item x="205"/>
        <item x="494"/>
        <item x="327"/>
        <item x="484"/>
        <item x="317"/>
        <item x="523"/>
        <item x="470"/>
        <item x="378"/>
        <item x="300"/>
        <item x="348"/>
        <item x="512"/>
        <item x="38"/>
        <item x="235"/>
        <item x="321"/>
        <item x="521"/>
        <item x="443"/>
        <item x="505"/>
        <item x="513"/>
        <item x="537"/>
        <item x="429"/>
        <item x="423"/>
        <item x="119"/>
        <item x="63"/>
        <item x="114"/>
        <item x="39"/>
        <item x="413"/>
        <item x="61"/>
        <item x="13"/>
        <item x="297"/>
        <item x="426"/>
        <item x="552"/>
        <item x="164"/>
        <item x="362"/>
        <item x="100"/>
        <item x="128"/>
        <item x="115"/>
        <item x="527"/>
        <item x="491"/>
        <item x="7"/>
        <item x="266"/>
        <item x="242"/>
        <item x="463"/>
        <item x="380"/>
        <item x="529"/>
        <item x="433"/>
        <item x="102"/>
        <item x="428"/>
        <item x="157"/>
        <item x="113"/>
        <item x="29"/>
        <item x="251"/>
        <item x="10"/>
        <item x="152"/>
        <item x="200"/>
        <item x="79"/>
        <item x="534"/>
        <item x="226"/>
        <item x="76"/>
        <item x="403"/>
        <item x="196"/>
        <item x="193"/>
        <item x="176"/>
        <item x="207"/>
        <item x="51"/>
        <item x="530"/>
        <item x="329"/>
        <item x="535"/>
        <item x="551"/>
        <item x="549"/>
        <item x="27"/>
        <item x="487"/>
        <item x="247"/>
        <item x="451"/>
        <item x="504"/>
        <item x="503"/>
        <item x="26"/>
        <item x="94"/>
        <item x="289"/>
        <item x="225"/>
        <item x="316"/>
        <item x="141"/>
        <item x="395"/>
        <item x="496"/>
        <item x="5"/>
        <item x="338"/>
        <item x="229"/>
        <item x="2"/>
        <item x="145"/>
        <item x="75"/>
        <item x="476"/>
        <item x="224"/>
        <item x="249"/>
        <item x="244"/>
        <item x="438"/>
        <item x="64"/>
        <item x="420"/>
        <item x="293"/>
        <item x="250"/>
        <item x="173"/>
        <item x="213"/>
        <item x="281"/>
        <item x="271"/>
        <item x="181"/>
        <item x="117"/>
        <item x="142"/>
        <item x="285"/>
        <item x="255"/>
        <item x="292"/>
        <item x="50"/>
        <item x="479"/>
        <item x="347"/>
        <item x="109"/>
        <item x="17"/>
        <item x="284"/>
        <item x="304"/>
        <item x="144"/>
        <item x="412"/>
        <item x="44"/>
        <item x="99"/>
        <item x="240"/>
        <item x="35"/>
        <item x="270"/>
        <item x="183"/>
        <item x="218"/>
        <item x="222"/>
        <item x="111"/>
        <item x="162"/>
        <item x="73"/>
        <item x="394"/>
        <item x="168"/>
        <item x="345"/>
        <item x="169"/>
        <item x="343"/>
        <item x="397"/>
        <item x="448"/>
        <item x="422"/>
        <item x="312"/>
        <item x="9"/>
        <item t="default"/>
      </items>
    </pivotField>
    <pivotField showAll="0">
      <items count="623">
        <item x="603"/>
        <item x="160"/>
        <item x="158"/>
        <item x="45"/>
        <item x="299"/>
        <item x="178"/>
        <item x="511"/>
        <item x="591"/>
        <item x="460"/>
        <item x="474"/>
        <item x="424"/>
        <item x="610"/>
        <item x="426"/>
        <item x="396"/>
        <item x="419"/>
        <item x="461"/>
        <item x="494"/>
        <item x="135"/>
        <item x="130"/>
        <item x="568"/>
        <item x="520"/>
        <item x="420"/>
        <item x="388"/>
        <item x="596"/>
        <item x="279"/>
        <item x="553"/>
        <item x="545"/>
        <item x="344"/>
        <item x="97"/>
        <item x="239"/>
        <item x="440"/>
        <item x="377"/>
        <item x="296"/>
        <item x="583"/>
        <item x="38"/>
        <item x="334"/>
        <item x="449"/>
        <item x="549"/>
        <item x="537"/>
        <item x="559"/>
        <item x="464"/>
        <item x="125"/>
        <item x="469"/>
        <item x="234"/>
        <item x="378"/>
        <item x="580"/>
        <item x="547"/>
        <item x="504"/>
        <item x="410"/>
        <item x="108"/>
        <item x="121"/>
        <item x="371"/>
        <item x="324"/>
        <item x="478"/>
        <item x="77"/>
        <item x="28"/>
        <item x="414"/>
        <item x="196"/>
        <item x="197"/>
        <item x="129"/>
        <item x="204"/>
        <item x="192"/>
        <item x="131"/>
        <item x="132"/>
        <item x="246"/>
        <item x="567"/>
        <item x="487"/>
        <item x="113"/>
        <item x="248"/>
        <item x="402"/>
        <item x="473"/>
        <item x="592"/>
        <item x="193"/>
        <item x="95"/>
        <item x="219"/>
        <item x="501"/>
        <item x="384"/>
        <item x="168"/>
        <item x="57"/>
        <item x="401"/>
        <item x="527"/>
        <item x="34"/>
        <item x="9"/>
        <item x="472"/>
        <item x="593"/>
        <item x="270"/>
        <item x="579"/>
        <item x="375"/>
        <item x="54"/>
        <item x="180"/>
        <item x="441"/>
        <item x="457"/>
        <item x="466"/>
        <item x="20"/>
        <item x="381"/>
        <item x="515"/>
        <item x="275"/>
        <item x="161"/>
        <item x="73"/>
        <item x="575"/>
        <item x="203"/>
        <item x="190"/>
        <item x="0"/>
        <item x="490"/>
        <item x="398"/>
        <item x="140"/>
        <item x="33"/>
        <item x="232"/>
        <item x="70"/>
        <item x="24"/>
        <item x="65"/>
        <item x="544"/>
        <item x="273"/>
        <item x="458"/>
        <item x="561"/>
        <item x="413"/>
        <item x="417"/>
        <item x="428"/>
        <item x="438"/>
        <item x="422"/>
        <item x="432"/>
        <item x="612"/>
        <item x="598"/>
        <item x="1"/>
        <item x="201"/>
        <item x="44"/>
        <item x="565"/>
        <item x="165"/>
        <item x="159"/>
        <item x="451"/>
        <item x="463"/>
        <item x="483"/>
        <item x="534"/>
        <item x="572"/>
        <item x="608"/>
        <item x="295"/>
        <item x="597"/>
        <item x="383"/>
        <item x="448"/>
        <item x="78"/>
        <item x="350"/>
        <item x="408"/>
        <item x="93"/>
        <item x="48"/>
        <item x="69"/>
        <item x="335"/>
        <item x="391"/>
        <item x="241"/>
        <item x="605"/>
        <item x="415"/>
        <item x="576"/>
        <item x="418"/>
        <item x="574"/>
        <item x="601"/>
        <item x="621"/>
        <item x="138"/>
        <item x="217"/>
        <item x="251"/>
        <item x="85"/>
        <item x="68"/>
        <item x="188"/>
        <item x="10"/>
        <item x="18"/>
        <item x="560"/>
        <item x="532"/>
        <item x="61"/>
        <item x="194"/>
        <item x="64"/>
        <item x="259"/>
        <item x="237"/>
        <item x="260"/>
        <item x="115"/>
        <item x="528"/>
        <item x="552"/>
        <item x="536"/>
        <item x="289"/>
        <item x="89"/>
        <item x="148"/>
        <item x="337"/>
        <item x="329"/>
        <item x="338"/>
        <item x="300"/>
        <item x="470"/>
        <item x="233"/>
        <item x="39"/>
        <item x="315"/>
        <item x="456"/>
        <item x="450"/>
        <item x="569"/>
        <item x="144"/>
        <item x="434"/>
        <item x="609"/>
        <item x="331"/>
        <item x="287"/>
        <item x="252"/>
        <item x="111"/>
        <item x="118"/>
        <item x="468"/>
        <item x="379"/>
        <item x="30"/>
        <item x="517"/>
        <item x="484"/>
        <item x="264"/>
        <item x="370"/>
        <item x="126"/>
        <item x="611"/>
        <item x="62"/>
        <item x="588"/>
        <item x="183"/>
        <item x="151"/>
        <item x="27"/>
        <item x="128"/>
        <item x="492"/>
        <item x="513"/>
        <item x="506"/>
        <item x="499"/>
        <item x="7"/>
        <item x="214"/>
        <item x="509"/>
        <item x="110"/>
        <item x="312"/>
        <item x="282"/>
        <item x="245"/>
        <item x="309"/>
        <item x="387"/>
        <item x="298"/>
        <item x="314"/>
        <item x="156"/>
        <item x="36"/>
        <item x="47"/>
        <item x="155"/>
        <item x="584"/>
        <item x="211"/>
        <item x="216"/>
        <item x="60"/>
        <item x="471"/>
        <item x="247"/>
        <item x="179"/>
        <item x="531"/>
        <item x="56"/>
        <item x="348"/>
        <item x="455"/>
        <item x="429"/>
        <item x="292"/>
        <item x="200"/>
        <item x="423"/>
        <item x="206"/>
        <item x="489"/>
        <item x="485"/>
        <item x="412"/>
        <item x="212"/>
        <item x="15"/>
        <item x="550"/>
        <item x="235"/>
        <item x="254"/>
        <item x="109"/>
        <item x="265"/>
        <item x="145"/>
        <item x="436"/>
        <item x="452"/>
        <item x="267"/>
        <item x="308"/>
        <item x="236"/>
        <item x="529"/>
        <item x="582"/>
        <item x="84"/>
        <item x="462"/>
        <item x="405"/>
        <item x="573"/>
        <item x="343"/>
        <item x="406"/>
        <item x="13"/>
        <item x="181"/>
        <item x="564"/>
        <item x="587"/>
        <item x="187"/>
        <item x="435"/>
        <item x="152"/>
        <item x="425"/>
        <item x="154"/>
        <item x="157"/>
        <item x="523"/>
        <item x="8"/>
        <item x="271"/>
        <item x="409"/>
        <item x="29"/>
        <item x="184"/>
        <item x="191"/>
        <item x="202"/>
        <item x="433"/>
        <item x="590"/>
        <item x="133"/>
        <item x="153"/>
        <item x="238"/>
        <item x="394"/>
        <item x="615"/>
        <item x="302"/>
        <item x="297"/>
        <item x="374"/>
        <item x="311"/>
        <item x="4"/>
        <item x="539"/>
        <item x="346"/>
        <item x="361"/>
        <item x="26"/>
        <item x="215"/>
        <item x="439"/>
        <item x="146"/>
        <item x="63"/>
        <item x="66"/>
        <item x="395"/>
        <item x="467"/>
        <item x="14"/>
        <item x="12"/>
        <item x="87"/>
        <item x="86"/>
        <item x="35"/>
        <item x="81"/>
        <item x="141"/>
        <item x="345"/>
        <item x="83"/>
        <item x="272"/>
        <item x="341"/>
        <item x="430"/>
        <item x="376"/>
        <item x="50"/>
        <item x="278"/>
        <item x="100"/>
        <item x="40"/>
        <item x="207"/>
        <item x="393"/>
        <item x="503"/>
        <item x="479"/>
        <item x="356"/>
        <item x="437"/>
        <item x="427"/>
        <item x="421"/>
        <item x="431"/>
        <item x="465"/>
        <item x="304"/>
        <item x="618"/>
        <item x="122"/>
        <item x="614"/>
        <item x="198"/>
        <item x="244"/>
        <item x="392"/>
        <item x="332"/>
        <item x="619"/>
        <item x="127"/>
        <item x="261"/>
        <item x="416"/>
        <item x="607"/>
        <item x="366"/>
        <item x="538"/>
        <item x="496"/>
        <item x="447"/>
        <item x="475"/>
        <item x="535"/>
        <item x="613"/>
        <item x="351"/>
        <item x="522"/>
        <item x="581"/>
        <item x="554"/>
        <item x="512"/>
        <item x="352"/>
        <item x="589"/>
        <item x="606"/>
        <item x="459"/>
        <item x="453"/>
        <item x="566"/>
        <item x="542"/>
        <item x="558"/>
        <item x="443"/>
        <item x="498"/>
        <item x="530"/>
        <item x="340"/>
        <item x="599"/>
        <item x="491"/>
        <item x="505"/>
        <item x="519"/>
        <item x="518"/>
        <item x="551"/>
        <item x="526"/>
        <item x="164"/>
        <item x="120"/>
        <item x="162"/>
        <item x="602"/>
        <item x="347"/>
        <item x="342"/>
        <item x="281"/>
        <item x="101"/>
        <item x="548"/>
        <item x="221"/>
        <item x="71"/>
        <item x="317"/>
        <item x="446"/>
        <item x="497"/>
        <item x="42"/>
        <item x="333"/>
        <item x="6"/>
        <item x="389"/>
        <item x="16"/>
        <item x="330"/>
        <item x="521"/>
        <item x="55"/>
        <item x="175"/>
        <item x="226"/>
        <item x="563"/>
        <item x="301"/>
        <item x="170"/>
        <item x="105"/>
        <item x="353"/>
        <item x="277"/>
        <item x="163"/>
        <item x="316"/>
        <item x="22"/>
        <item x="52"/>
        <item x="136"/>
        <item x="123"/>
        <item x="32"/>
        <item x="268"/>
        <item x="323"/>
        <item x="540"/>
        <item x="134"/>
        <item x="514"/>
        <item x="92"/>
        <item x="325"/>
        <item x="276"/>
        <item x="98"/>
        <item x="541"/>
        <item x="11"/>
        <item x="477"/>
        <item x="354"/>
        <item x="481"/>
        <item x="382"/>
        <item x="288"/>
        <item x="411"/>
        <item x="516"/>
        <item x="230"/>
        <item x="318"/>
        <item x="218"/>
        <item x="225"/>
        <item x="228"/>
        <item x="358"/>
        <item x="213"/>
        <item x="90"/>
        <item x="173"/>
        <item x="507"/>
        <item x="169"/>
        <item x="524"/>
        <item x="43"/>
        <item x="362"/>
        <item x="250"/>
        <item x="143"/>
        <item x="274"/>
        <item x="556"/>
        <item x="58"/>
        <item x="240"/>
        <item x="442"/>
        <item x="210"/>
        <item x="137"/>
        <item x="360"/>
        <item x="364"/>
        <item x="88"/>
        <item x="313"/>
        <item x="229"/>
        <item x="365"/>
        <item x="586"/>
        <item x="139"/>
        <item x="102"/>
        <item x="222"/>
        <item x="403"/>
        <item x="290"/>
        <item x="284"/>
        <item x="25"/>
        <item x="220"/>
        <item x="562"/>
        <item x="176"/>
        <item x="445"/>
        <item x="280"/>
        <item x="380"/>
        <item x="339"/>
        <item x="49"/>
        <item x="51"/>
        <item x="116"/>
        <item x="570"/>
        <item x="3"/>
        <item x="19"/>
        <item x="327"/>
        <item x="99"/>
        <item x="399"/>
        <item x="500"/>
        <item x="407"/>
        <item x="167"/>
        <item x="253"/>
        <item x="363"/>
        <item x="174"/>
        <item x="257"/>
        <item x="80"/>
        <item x="263"/>
        <item x="75"/>
        <item x="286"/>
        <item x="578"/>
        <item x="107"/>
        <item x="585"/>
        <item x="571"/>
        <item x="533"/>
        <item x="502"/>
        <item x="59"/>
        <item x="326"/>
        <item x="23"/>
        <item x="307"/>
        <item x="31"/>
        <item x="373"/>
        <item x="404"/>
        <item x="349"/>
        <item x="390"/>
        <item x="91"/>
        <item x="397"/>
        <item x="368"/>
        <item x="242"/>
        <item x="322"/>
        <item x="243"/>
        <item x="577"/>
        <item x="262"/>
        <item x="223"/>
        <item x="117"/>
        <item x="495"/>
        <item x="555"/>
        <item x="372"/>
        <item x="285"/>
        <item x="355"/>
        <item x="124"/>
        <item x="119"/>
        <item x="525"/>
        <item x="486"/>
        <item x="104"/>
        <item x="255"/>
        <item x="476"/>
        <item x="493"/>
        <item x="106"/>
        <item x="319"/>
        <item x="303"/>
        <item x="269"/>
        <item x="488"/>
        <item x="171"/>
        <item x="306"/>
        <item x="166"/>
        <item x="231"/>
        <item x="82"/>
        <item x="594"/>
        <item x="227"/>
        <item x="224"/>
        <item x="53"/>
        <item x="386"/>
        <item x="595"/>
        <item x="617"/>
        <item x="74"/>
        <item x="266"/>
        <item x="208"/>
        <item x="369"/>
        <item x="357"/>
        <item x="359"/>
        <item x="557"/>
        <item x="5"/>
        <item x="2"/>
        <item x="283"/>
        <item x="67"/>
        <item x="480"/>
        <item x="305"/>
        <item x="142"/>
        <item x="199"/>
        <item x="310"/>
        <item x="114"/>
        <item x="17"/>
        <item x="328"/>
        <item x="46"/>
        <item x="103"/>
        <item x="41"/>
        <item x="37"/>
        <item x="72"/>
        <item x="249"/>
        <item x="256"/>
        <item x="96"/>
        <item x="209"/>
        <item x="76"/>
        <item x="508"/>
        <item x="482"/>
        <item x="367"/>
        <item x="444"/>
        <item x="321"/>
        <item x="258"/>
        <item x="400"/>
        <item x="79"/>
        <item x="172"/>
        <item x="294"/>
        <item x="620"/>
        <item x="600"/>
        <item x="21"/>
        <item x="336"/>
        <item x="546"/>
        <item x="616"/>
        <item x="510"/>
        <item x="604"/>
        <item x="543"/>
        <item x="147"/>
        <item x="293"/>
        <item x="94"/>
        <item x="320"/>
        <item x="385"/>
        <item x="150"/>
        <item x="149"/>
        <item x="291"/>
        <item x="112"/>
        <item x="454"/>
        <item x="185"/>
        <item x="186"/>
        <item x="205"/>
        <item x="195"/>
        <item x="189"/>
        <item x="177"/>
        <item x="182"/>
        <item t="default"/>
      </items>
    </pivotField>
    <pivotField axis="axisRow" showAll="0" measureFilter="1" sortType="descending">
      <items count="93">
        <item x="19"/>
        <item x="63"/>
        <item x="50"/>
        <item x="24"/>
        <item x="6"/>
        <item x="11"/>
        <item x="18"/>
        <item x="68"/>
        <item x="15"/>
        <item x="2"/>
        <item x="59"/>
        <item x="21"/>
        <item x="67"/>
        <item x="32"/>
        <item x="60"/>
        <item x="12"/>
        <item x="66"/>
        <item x="0"/>
        <item x="53"/>
        <item x="64"/>
        <item x="86"/>
        <item x="56"/>
        <item x="43"/>
        <item x="49"/>
        <item x="48"/>
        <item x="14"/>
        <item x="44"/>
        <item x="1"/>
        <item x="54"/>
        <item x="91"/>
        <item x="37"/>
        <item x="90"/>
        <item x="89"/>
        <item x="46"/>
        <item x="61"/>
        <item x="13"/>
        <item x="58"/>
        <item x="57"/>
        <item x="34"/>
        <item x="27"/>
        <item x="88"/>
        <item x="87"/>
        <item x="25"/>
        <item x="70"/>
        <item x="3"/>
        <item x="81"/>
        <item x="82"/>
        <item x="85"/>
        <item x="75"/>
        <item x="38"/>
        <item x="7"/>
        <item x="79"/>
        <item x="52"/>
        <item x="20"/>
        <item x="72"/>
        <item x="5"/>
        <item x="65"/>
        <item x="40"/>
        <item x="41"/>
        <item x="36"/>
        <item x="8"/>
        <item x="84"/>
        <item x="16"/>
        <item x="69"/>
        <item x="77"/>
        <item x="22"/>
        <item x="4"/>
        <item x="73"/>
        <item x="26"/>
        <item x="28"/>
        <item x="33"/>
        <item x="71"/>
        <item x="29"/>
        <item x="80"/>
        <item x="9"/>
        <item x="23"/>
        <item x="35"/>
        <item x="31"/>
        <item x="74"/>
        <item x="76"/>
        <item x="30"/>
        <item x="47"/>
        <item x="62"/>
        <item x="17"/>
        <item x="42"/>
        <item x="39"/>
        <item x="51"/>
        <item x="45"/>
        <item x="83"/>
        <item x="10"/>
        <item x="78"/>
        <item x="55"/>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dataField="1" showAll="0"/>
    <pivotField showAll="0"/>
    <pivotField showAll="0"/>
    <pivotField showAll="0"/>
    <pivotField showAll="0"/>
    <pivotField showAll="0"/>
    <pivotField showAll="0"/>
    <pivotField showAll="0"/>
  </pivotFields>
  <rowFields count="1">
    <field x="3"/>
  </rowFields>
  <rowItems count="11">
    <i>
      <x v="17"/>
    </i>
    <i>
      <x v="27"/>
    </i>
    <i>
      <x v="15"/>
    </i>
    <i>
      <x v="4"/>
    </i>
    <i>
      <x v="25"/>
    </i>
    <i>
      <x v="85"/>
    </i>
    <i>
      <x v="57"/>
    </i>
    <i>
      <x v="44"/>
    </i>
    <i>
      <x v="65"/>
    </i>
    <i>
      <x v="74"/>
    </i>
    <i t="grand">
      <x/>
    </i>
  </rowItems>
  <colItems count="1">
    <i/>
  </colItems>
  <dataFields count="1">
    <dataField name="Sum of Tuition_USD" fld="6" baseField="3" baseItem="17" numFmtId="164"/>
  </dataFields>
  <formats count="2">
    <format dxfId="0">
      <pivotArea dataOnly="0" outline="0" fieldPosition="0">
        <references count="1">
          <reference field="4294967294" count="1">
            <x v="0"/>
          </reference>
        </references>
      </pivotArea>
    </format>
    <format dxfId="1">
      <pivotArea outline="0" fieldPosition="0">
        <references count="1">
          <reference field="4294967294" count="1">
            <x v="0"/>
          </reference>
        </references>
      </pivotArea>
    </format>
  </formats>
  <chartFormats count="18">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3" count="1" selected="0">
            <x v="27"/>
          </reference>
        </references>
      </pivotArea>
    </chartFormat>
    <chartFormat chart="12" format="6">
      <pivotArea type="data" outline="0" fieldPosition="0">
        <references count="2">
          <reference field="4294967294" count="1" selected="0">
            <x v="0"/>
          </reference>
          <reference field="3" count="1" selected="0">
            <x v="15"/>
          </reference>
        </references>
      </pivotArea>
    </chartFormat>
    <chartFormat chart="12" format="7">
      <pivotArea type="data" outline="0" fieldPosition="0">
        <references count="2">
          <reference field="4294967294" count="1" selected="0">
            <x v="0"/>
          </reference>
          <reference field="3" count="1" selected="0">
            <x v="4"/>
          </reference>
        </references>
      </pivotArea>
    </chartFormat>
    <chartFormat chart="12" format="8">
      <pivotArea type="data" outline="0" fieldPosition="0">
        <references count="2">
          <reference field="4294967294" count="1" selected="0">
            <x v="0"/>
          </reference>
          <reference field="3" count="1" selected="0">
            <x v="25"/>
          </reference>
        </references>
      </pivotArea>
    </chartFormat>
    <chartFormat chart="12" format="9">
      <pivotArea type="data" outline="0" fieldPosition="0">
        <references count="2">
          <reference field="4294967294" count="1" selected="0">
            <x v="0"/>
          </reference>
          <reference field="3" count="1" selected="0">
            <x v="85"/>
          </reference>
        </references>
      </pivotArea>
    </chartFormat>
    <chartFormat chart="12" format="10">
      <pivotArea type="data" outline="0" fieldPosition="0">
        <references count="2">
          <reference field="4294967294" count="1" selected="0">
            <x v="0"/>
          </reference>
          <reference field="3" count="1" selected="0">
            <x v="57"/>
          </reference>
        </references>
      </pivotArea>
    </chartFormat>
    <chartFormat chart="12" format="11">
      <pivotArea type="data" outline="0" fieldPosition="0">
        <references count="2">
          <reference field="4294967294" count="1" selected="0">
            <x v="0"/>
          </reference>
          <reference field="3" count="1" selected="0">
            <x v="44"/>
          </reference>
        </references>
      </pivotArea>
    </chartFormat>
    <chartFormat chart="12" format="12">
      <pivotArea type="data" outline="0" fieldPosition="0">
        <references count="2">
          <reference field="4294967294" count="1" selected="0">
            <x v="0"/>
          </reference>
          <reference field="3" count="1" selected="0">
            <x v="65"/>
          </reference>
        </references>
      </pivotArea>
    </chartFormat>
    <chartFormat chart="12" format="13">
      <pivotArea type="data" outline="0" fieldPosition="0">
        <references count="2">
          <reference field="4294967294" count="1" selected="0">
            <x v="0"/>
          </reference>
          <reference field="3" count="1" selected="0">
            <x v="74"/>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B64BD0-A120-4A35-800E-EC1B9F4FB052}" name="PivotTable3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A37" firstHeaderRow="1" firstDataRow="1" firstDataCol="0"/>
  <pivotFields count="14">
    <pivotField showAll="0">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pivotField>
    <pivotField showAll="0">
      <items count="557">
        <item x="254"/>
        <item x="81"/>
        <item x="43"/>
        <item x="163"/>
        <item x="190"/>
        <item x="357"/>
        <item x="464"/>
        <item x="68"/>
        <item x="367"/>
        <item x="387"/>
        <item x="531"/>
        <item x="372"/>
        <item x="515"/>
        <item x="555"/>
        <item x="361"/>
        <item x="465"/>
        <item x="490"/>
        <item x="6"/>
        <item x="536"/>
        <item x="324"/>
        <item x="19"/>
        <item x="488"/>
        <item x="339"/>
        <item x="332"/>
        <item x="431"/>
        <item x="77"/>
        <item x="208"/>
        <item x="381"/>
        <item x="123"/>
        <item x="243"/>
        <item x="20"/>
        <item x="16"/>
        <item x="21"/>
        <item x="279"/>
        <item x="230"/>
        <item x="90"/>
        <item x="392"/>
        <item x="42"/>
        <item x="548"/>
        <item x="124"/>
        <item x="53"/>
        <item x="399"/>
        <item x="33"/>
        <item x="195"/>
        <item x="12"/>
        <item x="460"/>
        <item x="105"/>
        <item x="502"/>
        <item x="396"/>
        <item x="246"/>
        <item x="48"/>
        <item x="52"/>
        <item x="156"/>
        <item x="418"/>
        <item x="302"/>
        <item x="101"/>
        <item x="454"/>
        <item x="257"/>
        <item x="384"/>
        <item x="298"/>
        <item x="234"/>
        <item x="149"/>
        <item x="414"/>
        <item x="30"/>
        <item x="95"/>
        <item x="277"/>
        <item x="407"/>
        <item x="84"/>
        <item x="262"/>
        <item x="228"/>
        <item x="22"/>
        <item x="203"/>
        <item x="18"/>
        <item x="405"/>
        <item x="385"/>
        <item x="323"/>
        <item x="131"/>
        <item x="520"/>
        <item x="486"/>
        <item x="335"/>
        <item x="15"/>
        <item x="468"/>
        <item x="130"/>
        <item x="118"/>
        <item x="393"/>
        <item x="0"/>
        <item x="358"/>
        <item x="36"/>
        <item x="480"/>
        <item x="129"/>
        <item x="104"/>
        <item x="415"/>
        <item x="430"/>
        <item x="533"/>
        <item x="319"/>
        <item x="170"/>
        <item x="364"/>
        <item x="177"/>
        <item x="356"/>
        <item x="89"/>
        <item x="458"/>
        <item x="350"/>
        <item x="489"/>
        <item x="506"/>
        <item x="273"/>
        <item x="390"/>
        <item x="275"/>
        <item x="186"/>
        <item x="233"/>
        <item x="182"/>
        <item x="411"/>
        <item x="481"/>
        <item x="11"/>
        <item x="432"/>
        <item x="236"/>
        <item x="187"/>
        <item x="215"/>
        <item x="417"/>
        <item x="475"/>
        <item x="445"/>
        <item x="546"/>
        <item x="171"/>
        <item x="46"/>
        <item x="547"/>
        <item x="83"/>
        <item x="74"/>
        <item x="474"/>
        <item x="97"/>
        <item x="217"/>
        <item x="326"/>
        <item x="34"/>
        <item x="359"/>
        <item x="419"/>
        <item x="239"/>
        <item x="541"/>
        <item x="498"/>
        <item x="408"/>
        <item x="532"/>
        <item x="320"/>
        <item x="78"/>
        <item x="125"/>
        <item x="14"/>
        <item x="456"/>
        <item x="199"/>
        <item x="276"/>
        <item x="92"/>
        <item x="188"/>
        <item x="40"/>
        <item x="136"/>
        <item x="137"/>
        <item x="263"/>
        <item x="391"/>
        <item x="331"/>
        <item x="245"/>
        <item x="194"/>
        <item x="197"/>
        <item x="441"/>
        <item x="282"/>
        <item x="437"/>
        <item x="303"/>
        <item x="373"/>
        <item x="232"/>
        <item x="87"/>
        <item x="159"/>
        <item x="382"/>
        <item x="62"/>
        <item x="286"/>
        <item x="447"/>
        <item x="184"/>
        <item x="45"/>
        <item x="406"/>
        <item x="155"/>
        <item x="325"/>
        <item x="455"/>
        <item x="366"/>
        <item x="260"/>
        <item x="41"/>
        <item x="70"/>
        <item x="274"/>
        <item x="307"/>
        <item x="290"/>
        <item x="219"/>
        <item x="147"/>
        <item x="138"/>
        <item x="296"/>
        <item x="167"/>
        <item x="467"/>
        <item x="172"/>
        <item x="337"/>
        <item x="398"/>
        <item x="108"/>
        <item x="80"/>
        <item x="106"/>
        <item x="165"/>
        <item x="86"/>
        <item x="341"/>
        <item x="370"/>
        <item x="507"/>
        <item x="32"/>
        <item x="56"/>
        <item x="299"/>
        <item x="201"/>
        <item x="269"/>
        <item x="67"/>
        <item x="495"/>
        <item x="135"/>
        <item x="71"/>
        <item x="24"/>
        <item x="267"/>
        <item x="209"/>
        <item x="369"/>
        <item x="401"/>
        <item x="175"/>
        <item x="305"/>
        <item x="309"/>
        <item x="477"/>
        <item x="511"/>
        <item x="120"/>
        <item x="127"/>
        <item x="328"/>
        <item x="132"/>
        <item x="539"/>
        <item x="85"/>
        <item x="268"/>
        <item x="540"/>
        <item x="483"/>
        <item x="258"/>
        <item x="66"/>
        <item x="379"/>
        <item x="82"/>
        <item x="283"/>
        <item x="416"/>
        <item x="344"/>
        <item x="334"/>
        <item x="352"/>
        <item x="210"/>
        <item x="198"/>
        <item x="516"/>
        <item x="360"/>
        <item x="514"/>
        <item x="220"/>
        <item x="402"/>
        <item x="310"/>
        <item x="65"/>
        <item x="259"/>
        <item x="349"/>
        <item x="404"/>
        <item x="517"/>
        <item x="526"/>
        <item x="389"/>
        <item x="264"/>
        <item x="47"/>
        <item x="542"/>
        <item x="472"/>
        <item x="265"/>
        <item x="499"/>
        <item x="500"/>
        <item x="59"/>
        <item x="497"/>
        <item x="446"/>
        <item x="436"/>
        <item x="134"/>
        <item x="206"/>
        <item x="261"/>
        <item x="434"/>
        <item x="154"/>
        <item x="98"/>
        <item x="191"/>
        <item x="143"/>
        <item x="315"/>
        <item x="322"/>
        <item x="346"/>
        <item x="150"/>
        <item x="425"/>
        <item x="427"/>
        <item x="237"/>
        <item x="278"/>
        <item x="295"/>
        <item x="25"/>
        <item x="231"/>
        <item x="189"/>
        <item x="501"/>
        <item x="410"/>
        <item x="482"/>
        <item x="1"/>
        <item x="107"/>
        <item x="180"/>
        <item x="202"/>
        <item x="336"/>
        <item x="161"/>
        <item x="158"/>
        <item x="37"/>
        <item x="386"/>
        <item x="508"/>
        <item x="256"/>
        <item x="146"/>
        <item x="139"/>
        <item x="93"/>
        <item x="287"/>
        <item x="553"/>
        <item x="409"/>
        <item x="478"/>
        <item x="461"/>
        <item x="49"/>
        <item x="376"/>
        <item x="509"/>
        <item x="444"/>
        <item x="545"/>
        <item x="519"/>
        <item x="238"/>
        <item x="388"/>
        <item x="543"/>
        <item x="550"/>
        <item x="3"/>
        <item x="453"/>
        <item x="311"/>
        <item x="122"/>
        <item x="54"/>
        <item x="96"/>
        <item x="342"/>
        <item x="544"/>
        <item x="440"/>
        <item x="223"/>
        <item x="351"/>
        <item x="291"/>
        <item x="462"/>
        <item x="153"/>
        <item x="221"/>
        <item x="121"/>
        <item x="492"/>
        <item x="355"/>
        <item x="4"/>
        <item x="60"/>
        <item x="375"/>
        <item x="528"/>
        <item x="166"/>
        <item x="308"/>
        <item x="91"/>
        <item x="160"/>
        <item x="178"/>
        <item x="126"/>
        <item x="72"/>
        <item x="148"/>
        <item x="421"/>
        <item x="140"/>
        <item x="554"/>
        <item x="518"/>
        <item x="214"/>
        <item x="103"/>
        <item x="525"/>
        <item x="510"/>
        <item x="330"/>
        <item x="248"/>
        <item x="524"/>
        <item x="473"/>
        <item x="58"/>
        <item x="442"/>
        <item x="57"/>
        <item x="23"/>
        <item x="457"/>
        <item x="252"/>
        <item x="31"/>
        <item x="216"/>
        <item x="318"/>
        <item x="280"/>
        <item x="466"/>
        <item x="449"/>
        <item x="8"/>
        <item x="294"/>
        <item x="493"/>
        <item x="333"/>
        <item x="538"/>
        <item x="69"/>
        <item x="88"/>
        <item x="365"/>
        <item x="340"/>
        <item x="313"/>
        <item x="116"/>
        <item x="452"/>
        <item x="471"/>
        <item x="211"/>
        <item x="174"/>
        <item x="371"/>
        <item x="241"/>
        <item x="272"/>
        <item x="363"/>
        <item x="212"/>
        <item x="400"/>
        <item x="28"/>
        <item x="227"/>
        <item x="179"/>
        <item x="301"/>
        <item x="450"/>
        <item x="374"/>
        <item x="110"/>
        <item x="204"/>
        <item x="306"/>
        <item x="459"/>
        <item x="424"/>
        <item x="522"/>
        <item x="185"/>
        <item x="377"/>
        <item x="192"/>
        <item x="368"/>
        <item x="112"/>
        <item x="151"/>
        <item x="383"/>
        <item x="314"/>
        <item x="469"/>
        <item x="435"/>
        <item x="354"/>
        <item x="485"/>
        <item x="133"/>
        <item x="288"/>
        <item x="439"/>
        <item x="253"/>
        <item x="353"/>
        <item x="55"/>
        <item x="205"/>
        <item x="494"/>
        <item x="327"/>
        <item x="484"/>
        <item x="317"/>
        <item x="523"/>
        <item x="470"/>
        <item x="378"/>
        <item x="300"/>
        <item x="348"/>
        <item x="512"/>
        <item x="38"/>
        <item x="235"/>
        <item x="321"/>
        <item x="521"/>
        <item x="443"/>
        <item x="505"/>
        <item x="513"/>
        <item x="537"/>
        <item x="429"/>
        <item x="423"/>
        <item x="119"/>
        <item x="63"/>
        <item x="114"/>
        <item x="39"/>
        <item x="413"/>
        <item x="61"/>
        <item x="13"/>
        <item x="297"/>
        <item x="426"/>
        <item x="552"/>
        <item x="164"/>
        <item x="362"/>
        <item x="100"/>
        <item x="128"/>
        <item x="115"/>
        <item x="527"/>
        <item x="491"/>
        <item x="7"/>
        <item x="266"/>
        <item x="242"/>
        <item x="463"/>
        <item x="380"/>
        <item x="529"/>
        <item x="433"/>
        <item x="102"/>
        <item x="428"/>
        <item x="157"/>
        <item x="113"/>
        <item x="29"/>
        <item x="251"/>
        <item x="10"/>
        <item x="152"/>
        <item x="200"/>
        <item x="79"/>
        <item x="534"/>
        <item x="226"/>
        <item x="76"/>
        <item x="403"/>
        <item x="196"/>
        <item x="193"/>
        <item x="176"/>
        <item x="207"/>
        <item x="51"/>
        <item x="530"/>
        <item x="329"/>
        <item x="535"/>
        <item x="551"/>
        <item x="549"/>
        <item x="27"/>
        <item x="487"/>
        <item x="247"/>
        <item x="451"/>
        <item x="504"/>
        <item x="503"/>
        <item x="26"/>
        <item x="94"/>
        <item x="289"/>
        <item x="225"/>
        <item x="316"/>
        <item x="141"/>
        <item x="395"/>
        <item x="496"/>
        <item x="5"/>
        <item x="338"/>
        <item x="229"/>
        <item x="2"/>
        <item x="145"/>
        <item x="75"/>
        <item x="476"/>
        <item x="224"/>
        <item x="249"/>
        <item x="244"/>
        <item x="438"/>
        <item x="64"/>
        <item x="420"/>
        <item x="293"/>
        <item x="250"/>
        <item x="173"/>
        <item x="213"/>
        <item x="281"/>
        <item x="271"/>
        <item x="181"/>
        <item x="117"/>
        <item x="142"/>
        <item x="285"/>
        <item x="255"/>
        <item x="292"/>
        <item x="50"/>
        <item x="479"/>
        <item x="347"/>
        <item x="109"/>
        <item x="17"/>
        <item x="284"/>
        <item x="304"/>
        <item x="144"/>
        <item x="412"/>
        <item x="44"/>
        <item x="99"/>
        <item x="240"/>
        <item x="35"/>
        <item x="270"/>
        <item x="183"/>
        <item x="218"/>
        <item x="222"/>
        <item x="111"/>
        <item x="162"/>
        <item x="73"/>
        <item x="394"/>
        <item x="168"/>
        <item x="345"/>
        <item x="169"/>
        <item x="343"/>
        <item x="397"/>
        <item x="448"/>
        <item x="422"/>
        <item x="312"/>
        <item x="9"/>
        <item t="default"/>
      </items>
    </pivotField>
    <pivotField showAll="0">
      <items count="623">
        <item x="603"/>
        <item x="160"/>
        <item x="158"/>
        <item x="45"/>
        <item x="299"/>
        <item x="178"/>
        <item x="511"/>
        <item x="591"/>
        <item x="460"/>
        <item x="474"/>
        <item x="424"/>
        <item x="610"/>
        <item x="426"/>
        <item x="396"/>
        <item x="419"/>
        <item x="461"/>
        <item x="494"/>
        <item x="135"/>
        <item x="130"/>
        <item x="568"/>
        <item x="520"/>
        <item x="420"/>
        <item x="388"/>
        <item x="596"/>
        <item x="279"/>
        <item x="553"/>
        <item x="545"/>
        <item x="344"/>
        <item x="97"/>
        <item x="239"/>
        <item x="440"/>
        <item x="377"/>
        <item x="296"/>
        <item x="583"/>
        <item x="38"/>
        <item x="334"/>
        <item x="449"/>
        <item x="549"/>
        <item x="537"/>
        <item x="559"/>
        <item x="464"/>
        <item x="125"/>
        <item x="469"/>
        <item x="234"/>
        <item x="378"/>
        <item x="580"/>
        <item x="547"/>
        <item x="504"/>
        <item x="410"/>
        <item x="108"/>
        <item x="121"/>
        <item x="371"/>
        <item x="324"/>
        <item x="478"/>
        <item x="77"/>
        <item x="28"/>
        <item x="414"/>
        <item x="196"/>
        <item x="197"/>
        <item x="129"/>
        <item x="204"/>
        <item x="192"/>
        <item x="131"/>
        <item x="132"/>
        <item x="246"/>
        <item x="567"/>
        <item x="487"/>
        <item x="113"/>
        <item x="248"/>
        <item x="402"/>
        <item x="473"/>
        <item x="592"/>
        <item x="193"/>
        <item x="95"/>
        <item x="219"/>
        <item x="501"/>
        <item x="384"/>
        <item x="168"/>
        <item x="57"/>
        <item x="401"/>
        <item x="527"/>
        <item x="34"/>
        <item x="9"/>
        <item x="472"/>
        <item x="593"/>
        <item x="270"/>
        <item x="579"/>
        <item x="375"/>
        <item x="54"/>
        <item x="180"/>
        <item x="441"/>
        <item x="457"/>
        <item x="466"/>
        <item x="20"/>
        <item x="381"/>
        <item x="515"/>
        <item x="275"/>
        <item x="161"/>
        <item x="73"/>
        <item x="575"/>
        <item x="203"/>
        <item x="190"/>
        <item x="0"/>
        <item x="490"/>
        <item x="398"/>
        <item x="140"/>
        <item x="33"/>
        <item x="232"/>
        <item x="70"/>
        <item x="24"/>
        <item x="65"/>
        <item x="544"/>
        <item x="273"/>
        <item x="458"/>
        <item x="561"/>
        <item x="413"/>
        <item x="417"/>
        <item x="428"/>
        <item x="438"/>
        <item x="422"/>
        <item x="432"/>
        <item x="612"/>
        <item x="598"/>
        <item x="1"/>
        <item x="201"/>
        <item x="44"/>
        <item x="565"/>
        <item x="165"/>
        <item x="159"/>
        <item x="451"/>
        <item x="463"/>
        <item x="483"/>
        <item x="534"/>
        <item x="572"/>
        <item x="608"/>
        <item x="295"/>
        <item x="597"/>
        <item x="383"/>
        <item x="448"/>
        <item x="78"/>
        <item x="350"/>
        <item x="408"/>
        <item x="93"/>
        <item x="48"/>
        <item x="69"/>
        <item x="335"/>
        <item x="391"/>
        <item x="241"/>
        <item x="605"/>
        <item x="415"/>
        <item x="576"/>
        <item x="418"/>
        <item x="574"/>
        <item x="601"/>
        <item x="621"/>
        <item x="138"/>
        <item x="217"/>
        <item x="251"/>
        <item x="85"/>
        <item x="68"/>
        <item x="188"/>
        <item x="10"/>
        <item x="18"/>
        <item x="560"/>
        <item x="532"/>
        <item x="61"/>
        <item x="194"/>
        <item x="64"/>
        <item x="259"/>
        <item x="237"/>
        <item x="260"/>
        <item x="115"/>
        <item x="528"/>
        <item x="552"/>
        <item x="536"/>
        <item x="289"/>
        <item x="89"/>
        <item x="148"/>
        <item x="337"/>
        <item x="329"/>
        <item x="338"/>
        <item x="300"/>
        <item x="470"/>
        <item x="233"/>
        <item x="39"/>
        <item x="315"/>
        <item x="456"/>
        <item x="450"/>
        <item x="569"/>
        <item x="144"/>
        <item x="434"/>
        <item x="609"/>
        <item x="331"/>
        <item x="287"/>
        <item x="252"/>
        <item x="111"/>
        <item x="118"/>
        <item x="468"/>
        <item x="379"/>
        <item x="30"/>
        <item x="517"/>
        <item x="484"/>
        <item x="264"/>
        <item x="370"/>
        <item x="126"/>
        <item x="611"/>
        <item x="62"/>
        <item x="588"/>
        <item x="183"/>
        <item x="151"/>
        <item x="27"/>
        <item x="128"/>
        <item x="492"/>
        <item x="513"/>
        <item x="506"/>
        <item x="499"/>
        <item x="7"/>
        <item x="214"/>
        <item x="509"/>
        <item x="110"/>
        <item x="312"/>
        <item x="282"/>
        <item x="245"/>
        <item x="309"/>
        <item x="387"/>
        <item x="298"/>
        <item x="314"/>
        <item x="156"/>
        <item x="36"/>
        <item x="47"/>
        <item x="155"/>
        <item x="584"/>
        <item x="211"/>
        <item x="216"/>
        <item x="60"/>
        <item x="471"/>
        <item x="247"/>
        <item x="179"/>
        <item x="531"/>
        <item x="56"/>
        <item x="348"/>
        <item x="455"/>
        <item x="429"/>
        <item x="292"/>
        <item x="200"/>
        <item x="423"/>
        <item x="206"/>
        <item x="489"/>
        <item x="485"/>
        <item x="412"/>
        <item x="212"/>
        <item x="15"/>
        <item x="550"/>
        <item x="235"/>
        <item x="254"/>
        <item x="109"/>
        <item x="265"/>
        <item x="145"/>
        <item x="436"/>
        <item x="452"/>
        <item x="267"/>
        <item x="308"/>
        <item x="236"/>
        <item x="529"/>
        <item x="582"/>
        <item x="84"/>
        <item x="462"/>
        <item x="405"/>
        <item x="573"/>
        <item x="343"/>
        <item x="406"/>
        <item x="13"/>
        <item x="181"/>
        <item x="564"/>
        <item x="587"/>
        <item x="187"/>
        <item x="435"/>
        <item x="152"/>
        <item x="425"/>
        <item x="154"/>
        <item x="157"/>
        <item x="523"/>
        <item x="8"/>
        <item x="271"/>
        <item x="409"/>
        <item x="29"/>
        <item x="184"/>
        <item x="191"/>
        <item x="202"/>
        <item x="433"/>
        <item x="590"/>
        <item x="133"/>
        <item x="153"/>
        <item x="238"/>
        <item x="394"/>
        <item x="615"/>
        <item x="302"/>
        <item x="297"/>
        <item x="374"/>
        <item x="311"/>
        <item x="4"/>
        <item x="539"/>
        <item x="346"/>
        <item x="361"/>
        <item x="26"/>
        <item x="215"/>
        <item x="439"/>
        <item x="146"/>
        <item x="63"/>
        <item x="66"/>
        <item x="395"/>
        <item x="467"/>
        <item x="14"/>
        <item x="12"/>
        <item x="87"/>
        <item x="86"/>
        <item x="35"/>
        <item x="81"/>
        <item x="141"/>
        <item x="345"/>
        <item x="83"/>
        <item x="272"/>
        <item x="341"/>
        <item x="430"/>
        <item x="376"/>
        <item x="50"/>
        <item x="278"/>
        <item x="100"/>
        <item x="40"/>
        <item x="207"/>
        <item x="393"/>
        <item x="503"/>
        <item x="479"/>
        <item x="356"/>
        <item x="437"/>
        <item x="427"/>
        <item x="421"/>
        <item x="431"/>
        <item x="465"/>
        <item x="304"/>
        <item x="618"/>
        <item x="122"/>
        <item x="614"/>
        <item x="198"/>
        <item x="244"/>
        <item x="392"/>
        <item x="332"/>
        <item x="619"/>
        <item x="127"/>
        <item x="261"/>
        <item x="416"/>
        <item x="607"/>
        <item x="366"/>
        <item x="538"/>
        <item x="496"/>
        <item x="447"/>
        <item x="475"/>
        <item x="535"/>
        <item x="613"/>
        <item x="351"/>
        <item x="522"/>
        <item x="581"/>
        <item x="554"/>
        <item x="512"/>
        <item x="352"/>
        <item x="589"/>
        <item x="606"/>
        <item x="459"/>
        <item x="453"/>
        <item x="566"/>
        <item x="542"/>
        <item x="558"/>
        <item x="443"/>
        <item x="498"/>
        <item x="530"/>
        <item x="340"/>
        <item x="599"/>
        <item x="491"/>
        <item x="505"/>
        <item x="519"/>
        <item x="518"/>
        <item x="551"/>
        <item x="526"/>
        <item x="164"/>
        <item x="120"/>
        <item x="162"/>
        <item x="602"/>
        <item x="347"/>
        <item x="342"/>
        <item x="281"/>
        <item x="101"/>
        <item x="548"/>
        <item x="221"/>
        <item x="71"/>
        <item x="317"/>
        <item x="446"/>
        <item x="497"/>
        <item x="42"/>
        <item x="333"/>
        <item x="6"/>
        <item x="389"/>
        <item x="16"/>
        <item x="330"/>
        <item x="521"/>
        <item x="55"/>
        <item x="175"/>
        <item x="226"/>
        <item x="563"/>
        <item x="301"/>
        <item x="170"/>
        <item x="105"/>
        <item x="353"/>
        <item x="277"/>
        <item x="163"/>
        <item x="316"/>
        <item x="22"/>
        <item x="52"/>
        <item x="136"/>
        <item x="123"/>
        <item x="32"/>
        <item x="268"/>
        <item x="323"/>
        <item x="540"/>
        <item x="134"/>
        <item x="514"/>
        <item x="92"/>
        <item x="325"/>
        <item x="276"/>
        <item x="98"/>
        <item x="541"/>
        <item x="11"/>
        <item x="477"/>
        <item x="354"/>
        <item x="481"/>
        <item x="382"/>
        <item x="288"/>
        <item x="411"/>
        <item x="516"/>
        <item x="230"/>
        <item x="318"/>
        <item x="218"/>
        <item x="225"/>
        <item x="228"/>
        <item x="358"/>
        <item x="213"/>
        <item x="90"/>
        <item x="173"/>
        <item x="507"/>
        <item x="169"/>
        <item x="524"/>
        <item x="43"/>
        <item x="362"/>
        <item x="250"/>
        <item x="143"/>
        <item x="274"/>
        <item x="556"/>
        <item x="58"/>
        <item x="240"/>
        <item x="442"/>
        <item x="210"/>
        <item x="137"/>
        <item x="360"/>
        <item x="364"/>
        <item x="88"/>
        <item x="313"/>
        <item x="229"/>
        <item x="365"/>
        <item x="586"/>
        <item x="139"/>
        <item x="102"/>
        <item x="222"/>
        <item x="403"/>
        <item x="290"/>
        <item x="284"/>
        <item x="25"/>
        <item x="220"/>
        <item x="562"/>
        <item x="176"/>
        <item x="445"/>
        <item x="280"/>
        <item x="380"/>
        <item x="339"/>
        <item x="49"/>
        <item x="51"/>
        <item x="116"/>
        <item x="570"/>
        <item x="3"/>
        <item x="19"/>
        <item x="327"/>
        <item x="99"/>
        <item x="399"/>
        <item x="500"/>
        <item x="407"/>
        <item x="167"/>
        <item x="253"/>
        <item x="363"/>
        <item x="174"/>
        <item x="257"/>
        <item x="80"/>
        <item x="263"/>
        <item x="75"/>
        <item x="286"/>
        <item x="578"/>
        <item x="107"/>
        <item x="585"/>
        <item x="571"/>
        <item x="533"/>
        <item x="502"/>
        <item x="59"/>
        <item x="326"/>
        <item x="23"/>
        <item x="307"/>
        <item x="31"/>
        <item x="373"/>
        <item x="404"/>
        <item x="349"/>
        <item x="390"/>
        <item x="91"/>
        <item x="397"/>
        <item x="368"/>
        <item x="242"/>
        <item x="322"/>
        <item x="243"/>
        <item x="577"/>
        <item x="262"/>
        <item x="223"/>
        <item x="117"/>
        <item x="495"/>
        <item x="555"/>
        <item x="372"/>
        <item x="285"/>
        <item x="355"/>
        <item x="124"/>
        <item x="119"/>
        <item x="525"/>
        <item x="486"/>
        <item x="104"/>
        <item x="255"/>
        <item x="476"/>
        <item x="493"/>
        <item x="106"/>
        <item x="319"/>
        <item x="303"/>
        <item x="269"/>
        <item x="488"/>
        <item x="171"/>
        <item x="306"/>
        <item x="166"/>
        <item x="231"/>
        <item x="82"/>
        <item x="594"/>
        <item x="227"/>
        <item x="224"/>
        <item x="53"/>
        <item x="386"/>
        <item x="595"/>
        <item x="617"/>
        <item x="74"/>
        <item x="266"/>
        <item x="208"/>
        <item x="369"/>
        <item x="357"/>
        <item x="359"/>
        <item x="557"/>
        <item x="5"/>
        <item x="2"/>
        <item x="283"/>
        <item x="67"/>
        <item x="480"/>
        <item x="305"/>
        <item x="142"/>
        <item x="199"/>
        <item x="310"/>
        <item x="114"/>
        <item x="17"/>
        <item x="328"/>
        <item x="46"/>
        <item x="103"/>
        <item x="41"/>
        <item x="37"/>
        <item x="72"/>
        <item x="249"/>
        <item x="256"/>
        <item x="96"/>
        <item x="209"/>
        <item x="76"/>
        <item x="508"/>
        <item x="482"/>
        <item x="367"/>
        <item x="444"/>
        <item x="321"/>
        <item x="258"/>
        <item x="400"/>
        <item x="79"/>
        <item x="172"/>
        <item x="294"/>
        <item x="620"/>
        <item x="600"/>
        <item x="21"/>
        <item x="336"/>
        <item x="546"/>
        <item x="616"/>
        <item x="510"/>
        <item x="604"/>
        <item x="543"/>
        <item x="147"/>
        <item x="293"/>
        <item x="94"/>
        <item x="320"/>
        <item x="385"/>
        <item x="150"/>
        <item x="149"/>
        <item x="291"/>
        <item x="112"/>
        <item x="454"/>
        <item x="185"/>
        <item x="186"/>
        <item x="205"/>
        <item x="195"/>
        <item x="189"/>
        <item x="177"/>
        <item x="182"/>
        <item t="default"/>
      </items>
    </pivotField>
    <pivotField showAll="0">
      <items count="93">
        <item x="19"/>
        <item x="63"/>
        <item x="50"/>
        <item x="24"/>
        <item x="6"/>
        <item x="11"/>
        <item x="18"/>
        <item x="68"/>
        <item x="15"/>
        <item x="2"/>
        <item x="59"/>
        <item x="21"/>
        <item x="67"/>
        <item x="32"/>
        <item x="60"/>
        <item x="12"/>
        <item x="66"/>
        <item x="0"/>
        <item x="53"/>
        <item x="64"/>
        <item x="86"/>
        <item x="56"/>
        <item x="43"/>
        <item x="49"/>
        <item x="48"/>
        <item x="14"/>
        <item x="44"/>
        <item x="1"/>
        <item x="54"/>
        <item x="91"/>
        <item x="37"/>
        <item x="90"/>
        <item x="89"/>
        <item x="46"/>
        <item x="61"/>
        <item x="13"/>
        <item x="58"/>
        <item x="57"/>
        <item x="34"/>
        <item x="27"/>
        <item x="88"/>
        <item x="87"/>
        <item x="25"/>
        <item x="70"/>
        <item x="3"/>
        <item x="81"/>
        <item x="82"/>
        <item x="85"/>
        <item x="75"/>
        <item x="38"/>
        <item x="7"/>
        <item x="79"/>
        <item x="52"/>
        <item x="20"/>
        <item x="72"/>
        <item x="5"/>
        <item x="65"/>
        <item x="40"/>
        <item x="41"/>
        <item x="36"/>
        <item x="8"/>
        <item x="84"/>
        <item x="16"/>
        <item x="69"/>
        <item x="77"/>
        <item x="22"/>
        <item x="4"/>
        <item x="73"/>
        <item x="26"/>
        <item x="28"/>
        <item x="33"/>
        <item x="71"/>
        <item x="29"/>
        <item x="80"/>
        <item x="9"/>
        <item x="23"/>
        <item x="35"/>
        <item x="31"/>
        <item x="74"/>
        <item x="76"/>
        <item x="30"/>
        <item x="47"/>
        <item x="62"/>
        <item x="17"/>
        <item x="42"/>
        <item x="39"/>
        <item x="51"/>
        <item x="45"/>
        <item x="83"/>
        <item x="10"/>
        <item x="78"/>
        <item x="55"/>
        <item t="default"/>
      </items>
    </pivotField>
    <pivotField showAll="0">
      <items count="4">
        <item x="1"/>
        <item x="0"/>
        <item x="2"/>
        <item t="default"/>
      </items>
    </pivotField>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Tuition_USD" fld="6" subtotal="average" baseField="0" baseItem="0" numFmtId="164"/>
  </dataFields>
  <formats count="3">
    <format dxfId="16">
      <pivotArea outline="0" collapsedLevelsAreSubtotals="1" fieldPosition="0"/>
    </format>
    <format dxfId="15">
      <pivotArea dataOnly="0" labelOnly="1" outline="0" axis="axisValues" fieldPosition="0"/>
    </format>
    <format dxfId="1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B64C00-DB50-43C8-9B62-FDD9E9F78867}" name="PivotTable30"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A49" firstHeaderRow="1" firstDataRow="1" firstDataCol="0"/>
  <pivotFields count="14">
    <pivotField showAll="0">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pivotField>
    <pivotField showAll="0">
      <items count="557">
        <item x="254"/>
        <item x="81"/>
        <item x="43"/>
        <item x="163"/>
        <item x="190"/>
        <item x="357"/>
        <item x="464"/>
        <item x="68"/>
        <item x="367"/>
        <item x="387"/>
        <item x="531"/>
        <item x="372"/>
        <item x="515"/>
        <item x="555"/>
        <item x="361"/>
        <item x="465"/>
        <item x="490"/>
        <item x="6"/>
        <item x="536"/>
        <item x="324"/>
        <item x="19"/>
        <item x="488"/>
        <item x="339"/>
        <item x="332"/>
        <item x="431"/>
        <item x="77"/>
        <item x="208"/>
        <item x="381"/>
        <item x="123"/>
        <item x="243"/>
        <item x="20"/>
        <item x="16"/>
        <item x="21"/>
        <item x="279"/>
        <item x="230"/>
        <item x="90"/>
        <item x="392"/>
        <item x="42"/>
        <item x="548"/>
        <item x="124"/>
        <item x="53"/>
        <item x="399"/>
        <item x="33"/>
        <item x="195"/>
        <item x="12"/>
        <item x="460"/>
        <item x="105"/>
        <item x="502"/>
        <item x="396"/>
        <item x="246"/>
        <item x="48"/>
        <item x="52"/>
        <item x="156"/>
        <item x="418"/>
        <item x="302"/>
        <item x="101"/>
        <item x="454"/>
        <item x="257"/>
        <item x="384"/>
        <item x="298"/>
        <item x="234"/>
        <item x="149"/>
        <item x="414"/>
        <item x="30"/>
        <item x="95"/>
        <item x="277"/>
        <item x="407"/>
        <item x="84"/>
        <item x="262"/>
        <item x="228"/>
        <item x="22"/>
        <item x="203"/>
        <item x="18"/>
        <item x="405"/>
        <item x="385"/>
        <item x="323"/>
        <item x="131"/>
        <item x="520"/>
        <item x="486"/>
        <item x="335"/>
        <item x="15"/>
        <item x="468"/>
        <item x="130"/>
        <item x="118"/>
        <item x="393"/>
        <item x="0"/>
        <item x="358"/>
        <item x="36"/>
        <item x="480"/>
        <item x="129"/>
        <item x="104"/>
        <item x="415"/>
        <item x="430"/>
        <item x="533"/>
        <item x="319"/>
        <item x="170"/>
        <item x="364"/>
        <item x="177"/>
        <item x="356"/>
        <item x="89"/>
        <item x="458"/>
        <item x="350"/>
        <item x="489"/>
        <item x="506"/>
        <item x="273"/>
        <item x="390"/>
        <item x="275"/>
        <item x="186"/>
        <item x="233"/>
        <item x="182"/>
        <item x="411"/>
        <item x="481"/>
        <item x="11"/>
        <item x="432"/>
        <item x="236"/>
        <item x="187"/>
        <item x="215"/>
        <item x="417"/>
        <item x="475"/>
        <item x="445"/>
        <item x="546"/>
        <item x="171"/>
        <item x="46"/>
        <item x="547"/>
        <item x="83"/>
        <item x="74"/>
        <item x="474"/>
        <item x="97"/>
        <item x="217"/>
        <item x="326"/>
        <item x="34"/>
        <item x="359"/>
        <item x="419"/>
        <item x="239"/>
        <item x="541"/>
        <item x="498"/>
        <item x="408"/>
        <item x="532"/>
        <item x="320"/>
        <item x="78"/>
        <item x="125"/>
        <item x="14"/>
        <item x="456"/>
        <item x="199"/>
        <item x="276"/>
        <item x="92"/>
        <item x="188"/>
        <item x="40"/>
        <item x="136"/>
        <item x="137"/>
        <item x="263"/>
        <item x="391"/>
        <item x="331"/>
        <item x="245"/>
        <item x="194"/>
        <item x="197"/>
        <item x="441"/>
        <item x="282"/>
        <item x="437"/>
        <item x="303"/>
        <item x="373"/>
        <item x="232"/>
        <item x="87"/>
        <item x="159"/>
        <item x="382"/>
        <item x="62"/>
        <item x="286"/>
        <item x="447"/>
        <item x="184"/>
        <item x="45"/>
        <item x="406"/>
        <item x="155"/>
        <item x="325"/>
        <item x="455"/>
        <item x="366"/>
        <item x="260"/>
        <item x="41"/>
        <item x="70"/>
        <item x="274"/>
        <item x="307"/>
        <item x="290"/>
        <item x="219"/>
        <item x="147"/>
        <item x="138"/>
        <item x="296"/>
        <item x="167"/>
        <item x="467"/>
        <item x="172"/>
        <item x="337"/>
        <item x="398"/>
        <item x="108"/>
        <item x="80"/>
        <item x="106"/>
        <item x="165"/>
        <item x="86"/>
        <item x="341"/>
        <item x="370"/>
        <item x="507"/>
        <item x="32"/>
        <item x="56"/>
        <item x="299"/>
        <item x="201"/>
        <item x="269"/>
        <item x="67"/>
        <item x="495"/>
        <item x="135"/>
        <item x="71"/>
        <item x="24"/>
        <item x="267"/>
        <item x="209"/>
        <item x="369"/>
        <item x="401"/>
        <item x="175"/>
        <item x="305"/>
        <item x="309"/>
        <item x="477"/>
        <item x="511"/>
        <item x="120"/>
        <item x="127"/>
        <item x="328"/>
        <item x="132"/>
        <item x="539"/>
        <item x="85"/>
        <item x="268"/>
        <item x="540"/>
        <item x="483"/>
        <item x="258"/>
        <item x="66"/>
        <item x="379"/>
        <item x="82"/>
        <item x="283"/>
        <item x="416"/>
        <item x="344"/>
        <item x="334"/>
        <item x="352"/>
        <item x="210"/>
        <item x="198"/>
        <item x="516"/>
        <item x="360"/>
        <item x="514"/>
        <item x="220"/>
        <item x="402"/>
        <item x="310"/>
        <item x="65"/>
        <item x="259"/>
        <item x="349"/>
        <item x="404"/>
        <item x="517"/>
        <item x="526"/>
        <item x="389"/>
        <item x="264"/>
        <item x="47"/>
        <item x="542"/>
        <item x="472"/>
        <item x="265"/>
        <item x="499"/>
        <item x="500"/>
        <item x="59"/>
        <item x="497"/>
        <item x="446"/>
        <item x="436"/>
        <item x="134"/>
        <item x="206"/>
        <item x="261"/>
        <item x="434"/>
        <item x="154"/>
        <item x="98"/>
        <item x="191"/>
        <item x="143"/>
        <item x="315"/>
        <item x="322"/>
        <item x="346"/>
        <item x="150"/>
        <item x="425"/>
        <item x="427"/>
        <item x="237"/>
        <item x="278"/>
        <item x="295"/>
        <item x="25"/>
        <item x="231"/>
        <item x="189"/>
        <item x="501"/>
        <item x="410"/>
        <item x="482"/>
        <item x="1"/>
        <item x="107"/>
        <item x="180"/>
        <item x="202"/>
        <item x="336"/>
        <item x="161"/>
        <item x="158"/>
        <item x="37"/>
        <item x="386"/>
        <item x="508"/>
        <item x="256"/>
        <item x="146"/>
        <item x="139"/>
        <item x="93"/>
        <item x="287"/>
        <item x="553"/>
        <item x="409"/>
        <item x="478"/>
        <item x="461"/>
        <item x="49"/>
        <item x="376"/>
        <item x="509"/>
        <item x="444"/>
        <item x="545"/>
        <item x="519"/>
        <item x="238"/>
        <item x="388"/>
        <item x="543"/>
        <item x="550"/>
        <item x="3"/>
        <item x="453"/>
        <item x="311"/>
        <item x="122"/>
        <item x="54"/>
        <item x="96"/>
        <item x="342"/>
        <item x="544"/>
        <item x="440"/>
        <item x="223"/>
        <item x="351"/>
        <item x="291"/>
        <item x="462"/>
        <item x="153"/>
        <item x="221"/>
        <item x="121"/>
        <item x="492"/>
        <item x="355"/>
        <item x="4"/>
        <item x="60"/>
        <item x="375"/>
        <item x="528"/>
        <item x="166"/>
        <item x="308"/>
        <item x="91"/>
        <item x="160"/>
        <item x="178"/>
        <item x="126"/>
        <item x="72"/>
        <item x="148"/>
        <item x="421"/>
        <item x="140"/>
        <item x="554"/>
        <item x="518"/>
        <item x="214"/>
        <item x="103"/>
        <item x="525"/>
        <item x="510"/>
        <item x="330"/>
        <item x="248"/>
        <item x="524"/>
        <item x="473"/>
        <item x="58"/>
        <item x="442"/>
        <item x="57"/>
        <item x="23"/>
        <item x="457"/>
        <item x="252"/>
        <item x="31"/>
        <item x="216"/>
        <item x="318"/>
        <item x="280"/>
        <item x="466"/>
        <item x="449"/>
        <item x="8"/>
        <item x="294"/>
        <item x="493"/>
        <item x="333"/>
        <item x="538"/>
        <item x="69"/>
        <item x="88"/>
        <item x="365"/>
        <item x="340"/>
        <item x="313"/>
        <item x="116"/>
        <item x="452"/>
        <item x="471"/>
        <item x="211"/>
        <item x="174"/>
        <item x="371"/>
        <item x="241"/>
        <item x="272"/>
        <item x="363"/>
        <item x="212"/>
        <item x="400"/>
        <item x="28"/>
        <item x="227"/>
        <item x="179"/>
        <item x="301"/>
        <item x="450"/>
        <item x="374"/>
        <item x="110"/>
        <item x="204"/>
        <item x="306"/>
        <item x="459"/>
        <item x="424"/>
        <item x="522"/>
        <item x="185"/>
        <item x="377"/>
        <item x="192"/>
        <item x="368"/>
        <item x="112"/>
        <item x="151"/>
        <item x="383"/>
        <item x="314"/>
        <item x="469"/>
        <item x="435"/>
        <item x="354"/>
        <item x="485"/>
        <item x="133"/>
        <item x="288"/>
        <item x="439"/>
        <item x="253"/>
        <item x="353"/>
        <item x="55"/>
        <item x="205"/>
        <item x="494"/>
        <item x="327"/>
        <item x="484"/>
        <item x="317"/>
        <item x="523"/>
        <item x="470"/>
        <item x="378"/>
        <item x="300"/>
        <item x="348"/>
        <item x="512"/>
        <item x="38"/>
        <item x="235"/>
        <item x="321"/>
        <item x="521"/>
        <item x="443"/>
        <item x="505"/>
        <item x="513"/>
        <item x="537"/>
        <item x="429"/>
        <item x="423"/>
        <item x="119"/>
        <item x="63"/>
        <item x="114"/>
        <item x="39"/>
        <item x="413"/>
        <item x="61"/>
        <item x="13"/>
        <item x="297"/>
        <item x="426"/>
        <item x="552"/>
        <item x="164"/>
        <item x="362"/>
        <item x="100"/>
        <item x="128"/>
        <item x="115"/>
        <item x="527"/>
        <item x="491"/>
        <item x="7"/>
        <item x="266"/>
        <item x="242"/>
        <item x="463"/>
        <item x="380"/>
        <item x="529"/>
        <item x="433"/>
        <item x="102"/>
        <item x="428"/>
        <item x="157"/>
        <item x="113"/>
        <item x="29"/>
        <item x="251"/>
        <item x="10"/>
        <item x="152"/>
        <item x="200"/>
        <item x="79"/>
        <item x="534"/>
        <item x="226"/>
        <item x="76"/>
        <item x="403"/>
        <item x="196"/>
        <item x="193"/>
        <item x="176"/>
        <item x="207"/>
        <item x="51"/>
        <item x="530"/>
        <item x="329"/>
        <item x="535"/>
        <item x="551"/>
        <item x="549"/>
        <item x="27"/>
        <item x="487"/>
        <item x="247"/>
        <item x="451"/>
        <item x="504"/>
        <item x="503"/>
        <item x="26"/>
        <item x="94"/>
        <item x="289"/>
        <item x="225"/>
        <item x="316"/>
        <item x="141"/>
        <item x="395"/>
        <item x="496"/>
        <item x="5"/>
        <item x="338"/>
        <item x="229"/>
        <item x="2"/>
        <item x="145"/>
        <item x="75"/>
        <item x="476"/>
        <item x="224"/>
        <item x="249"/>
        <item x="244"/>
        <item x="438"/>
        <item x="64"/>
        <item x="420"/>
        <item x="293"/>
        <item x="250"/>
        <item x="173"/>
        <item x="213"/>
        <item x="281"/>
        <item x="271"/>
        <item x="181"/>
        <item x="117"/>
        <item x="142"/>
        <item x="285"/>
        <item x="255"/>
        <item x="292"/>
        <item x="50"/>
        <item x="479"/>
        <item x="347"/>
        <item x="109"/>
        <item x="17"/>
        <item x="284"/>
        <item x="304"/>
        <item x="144"/>
        <item x="412"/>
        <item x="44"/>
        <item x="99"/>
        <item x="240"/>
        <item x="35"/>
        <item x="270"/>
        <item x="183"/>
        <item x="218"/>
        <item x="222"/>
        <item x="111"/>
        <item x="162"/>
        <item x="73"/>
        <item x="394"/>
        <item x="168"/>
        <item x="345"/>
        <item x="169"/>
        <item x="343"/>
        <item x="397"/>
        <item x="448"/>
        <item x="422"/>
        <item x="312"/>
        <item x="9"/>
        <item t="default"/>
      </items>
    </pivotField>
    <pivotField showAll="0">
      <items count="623">
        <item x="603"/>
        <item x="160"/>
        <item x="158"/>
        <item x="45"/>
        <item x="299"/>
        <item x="178"/>
        <item x="511"/>
        <item x="591"/>
        <item x="460"/>
        <item x="474"/>
        <item x="424"/>
        <item x="610"/>
        <item x="426"/>
        <item x="396"/>
        <item x="419"/>
        <item x="461"/>
        <item x="494"/>
        <item x="135"/>
        <item x="130"/>
        <item x="568"/>
        <item x="520"/>
        <item x="420"/>
        <item x="388"/>
        <item x="596"/>
        <item x="279"/>
        <item x="553"/>
        <item x="545"/>
        <item x="344"/>
        <item x="97"/>
        <item x="239"/>
        <item x="440"/>
        <item x="377"/>
        <item x="296"/>
        <item x="583"/>
        <item x="38"/>
        <item x="334"/>
        <item x="449"/>
        <item x="549"/>
        <item x="537"/>
        <item x="559"/>
        <item x="464"/>
        <item x="125"/>
        <item x="469"/>
        <item x="234"/>
        <item x="378"/>
        <item x="580"/>
        <item x="547"/>
        <item x="504"/>
        <item x="410"/>
        <item x="108"/>
        <item x="121"/>
        <item x="371"/>
        <item x="324"/>
        <item x="478"/>
        <item x="77"/>
        <item x="28"/>
        <item x="414"/>
        <item x="196"/>
        <item x="197"/>
        <item x="129"/>
        <item x="204"/>
        <item x="192"/>
        <item x="131"/>
        <item x="132"/>
        <item x="246"/>
        <item x="567"/>
        <item x="487"/>
        <item x="113"/>
        <item x="248"/>
        <item x="402"/>
        <item x="473"/>
        <item x="592"/>
        <item x="193"/>
        <item x="95"/>
        <item x="219"/>
        <item x="501"/>
        <item x="384"/>
        <item x="168"/>
        <item x="57"/>
        <item x="401"/>
        <item x="527"/>
        <item x="34"/>
        <item x="9"/>
        <item x="472"/>
        <item x="593"/>
        <item x="270"/>
        <item x="579"/>
        <item x="375"/>
        <item x="54"/>
        <item x="180"/>
        <item x="441"/>
        <item x="457"/>
        <item x="466"/>
        <item x="20"/>
        <item x="381"/>
        <item x="515"/>
        <item x="275"/>
        <item x="161"/>
        <item x="73"/>
        <item x="575"/>
        <item x="203"/>
        <item x="190"/>
        <item x="0"/>
        <item x="490"/>
        <item x="398"/>
        <item x="140"/>
        <item x="33"/>
        <item x="232"/>
        <item x="70"/>
        <item x="24"/>
        <item x="65"/>
        <item x="544"/>
        <item x="273"/>
        <item x="458"/>
        <item x="561"/>
        <item x="413"/>
        <item x="417"/>
        <item x="428"/>
        <item x="438"/>
        <item x="422"/>
        <item x="432"/>
        <item x="612"/>
        <item x="598"/>
        <item x="1"/>
        <item x="201"/>
        <item x="44"/>
        <item x="565"/>
        <item x="165"/>
        <item x="159"/>
        <item x="451"/>
        <item x="463"/>
        <item x="483"/>
        <item x="534"/>
        <item x="572"/>
        <item x="608"/>
        <item x="295"/>
        <item x="597"/>
        <item x="383"/>
        <item x="448"/>
        <item x="78"/>
        <item x="350"/>
        <item x="408"/>
        <item x="93"/>
        <item x="48"/>
        <item x="69"/>
        <item x="335"/>
        <item x="391"/>
        <item x="241"/>
        <item x="605"/>
        <item x="415"/>
        <item x="576"/>
        <item x="418"/>
        <item x="574"/>
        <item x="601"/>
        <item x="621"/>
        <item x="138"/>
        <item x="217"/>
        <item x="251"/>
        <item x="85"/>
        <item x="68"/>
        <item x="188"/>
        <item x="10"/>
        <item x="18"/>
        <item x="560"/>
        <item x="532"/>
        <item x="61"/>
        <item x="194"/>
        <item x="64"/>
        <item x="259"/>
        <item x="237"/>
        <item x="260"/>
        <item x="115"/>
        <item x="528"/>
        <item x="552"/>
        <item x="536"/>
        <item x="289"/>
        <item x="89"/>
        <item x="148"/>
        <item x="337"/>
        <item x="329"/>
        <item x="338"/>
        <item x="300"/>
        <item x="470"/>
        <item x="233"/>
        <item x="39"/>
        <item x="315"/>
        <item x="456"/>
        <item x="450"/>
        <item x="569"/>
        <item x="144"/>
        <item x="434"/>
        <item x="609"/>
        <item x="331"/>
        <item x="287"/>
        <item x="252"/>
        <item x="111"/>
        <item x="118"/>
        <item x="468"/>
        <item x="379"/>
        <item x="30"/>
        <item x="517"/>
        <item x="484"/>
        <item x="264"/>
        <item x="370"/>
        <item x="126"/>
        <item x="611"/>
        <item x="62"/>
        <item x="588"/>
        <item x="183"/>
        <item x="151"/>
        <item x="27"/>
        <item x="128"/>
        <item x="492"/>
        <item x="513"/>
        <item x="506"/>
        <item x="499"/>
        <item x="7"/>
        <item x="214"/>
        <item x="509"/>
        <item x="110"/>
        <item x="312"/>
        <item x="282"/>
        <item x="245"/>
        <item x="309"/>
        <item x="387"/>
        <item x="298"/>
        <item x="314"/>
        <item x="156"/>
        <item x="36"/>
        <item x="47"/>
        <item x="155"/>
        <item x="584"/>
        <item x="211"/>
        <item x="216"/>
        <item x="60"/>
        <item x="471"/>
        <item x="247"/>
        <item x="179"/>
        <item x="531"/>
        <item x="56"/>
        <item x="348"/>
        <item x="455"/>
        <item x="429"/>
        <item x="292"/>
        <item x="200"/>
        <item x="423"/>
        <item x="206"/>
        <item x="489"/>
        <item x="485"/>
        <item x="412"/>
        <item x="212"/>
        <item x="15"/>
        <item x="550"/>
        <item x="235"/>
        <item x="254"/>
        <item x="109"/>
        <item x="265"/>
        <item x="145"/>
        <item x="436"/>
        <item x="452"/>
        <item x="267"/>
        <item x="308"/>
        <item x="236"/>
        <item x="529"/>
        <item x="582"/>
        <item x="84"/>
        <item x="462"/>
        <item x="405"/>
        <item x="573"/>
        <item x="343"/>
        <item x="406"/>
        <item x="13"/>
        <item x="181"/>
        <item x="564"/>
        <item x="587"/>
        <item x="187"/>
        <item x="435"/>
        <item x="152"/>
        <item x="425"/>
        <item x="154"/>
        <item x="157"/>
        <item x="523"/>
        <item x="8"/>
        <item x="271"/>
        <item x="409"/>
        <item x="29"/>
        <item x="184"/>
        <item x="191"/>
        <item x="202"/>
        <item x="433"/>
        <item x="590"/>
        <item x="133"/>
        <item x="153"/>
        <item x="238"/>
        <item x="394"/>
        <item x="615"/>
        <item x="302"/>
        <item x="297"/>
        <item x="374"/>
        <item x="311"/>
        <item x="4"/>
        <item x="539"/>
        <item x="346"/>
        <item x="361"/>
        <item x="26"/>
        <item x="215"/>
        <item x="439"/>
        <item x="146"/>
        <item x="63"/>
        <item x="66"/>
        <item x="395"/>
        <item x="467"/>
        <item x="14"/>
        <item x="12"/>
        <item x="87"/>
        <item x="86"/>
        <item x="35"/>
        <item x="81"/>
        <item x="141"/>
        <item x="345"/>
        <item x="83"/>
        <item x="272"/>
        <item x="341"/>
        <item x="430"/>
        <item x="376"/>
        <item x="50"/>
        <item x="278"/>
        <item x="100"/>
        <item x="40"/>
        <item x="207"/>
        <item x="393"/>
        <item x="503"/>
        <item x="479"/>
        <item x="356"/>
        <item x="437"/>
        <item x="427"/>
        <item x="421"/>
        <item x="431"/>
        <item x="465"/>
        <item x="304"/>
        <item x="618"/>
        <item x="122"/>
        <item x="614"/>
        <item x="198"/>
        <item x="244"/>
        <item x="392"/>
        <item x="332"/>
        <item x="619"/>
        <item x="127"/>
        <item x="261"/>
        <item x="416"/>
        <item x="607"/>
        <item x="366"/>
        <item x="538"/>
        <item x="496"/>
        <item x="447"/>
        <item x="475"/>
        <item x="535"/>
        <item x="613"/>
        <item x="351"/>
        <item x="522"/>
        <item x="581"/>
        <item x="554"/>
        <item x="512"/>
        <item x="352"/>
        <item x="589"/>
        <item x="606"/>
        <item x="459"/>
        <item x="453"/>
        <item x="566"/>
        <item x="542"/>
        <item x="558"/>
        <item x="443"/>
        <item x="498"/>
        <item x="530"/>
        <item x="340"/>
        <item x="599"/>
        <item x="491"/>
        <item x="505"/>
        <item x="519"/>
        <item x="518"/>
        <item x="551"/>
        <item x="526"/>
        <item x="164"/>
        <item x="120"/>
        <item x="162"/>
        <item x="602"/>
        <item x="347"/>
        <item x="342"/>
        <item x="281"/>
        <item x="101"/>
        <item x="548"/>
        <item x="221"/>
        <item x="71"/>
        <item x="317"/>
        <item x="446"/>
        <item x="497"/>
        <item x="42"/>
        <item x="333"/>
        <item x="6"/>
        <item x="389"/>
        <item x="16"/>
        <item x="330"/>
        <item x="521"/>
        <item x="55"/>
        <item x="175"/>
        <item x="226"/>
        <item x="563"/>
        <item x="301"/>
        <item x="170"/>
        <item x="105"/>
        <item x="353"/>
        <item x="277"/>
        <item x="163"/>
        <item x="316"/>
        <item x="22"/>
        <item x="52"/>
        <item x="136"/>
        <item x="123"/>
        <item x="32"/>
        <item x="268"/>
        <item x="323"/>
        <item x="540"/>
        <item x="134"/>
        <item x="514"/>
        <item x="92"/>
        <item x="325"/>
        <item x="276"/>
        <item x="98"/>
        <item x="541"/>
        <item x="11"/>
        <item x="477"/>
        <item x="354"/>
        <item x="481"/>
        <item x="382"/>
        <item x="288"/>
        <item x="411"/>
        <item x="516"/>
        <item x="230"/>
        <item x="318"/>
        <item x="218"/>
        <item x="225"/>
        <item x="228"/>
        <item x="358"/>
        <item x="213"/>
        <item x="90"/>
        <item x="173"/>
        <item x="507"/>
        <item x="169"/>
        <item x="524"/>
        <item x="43"/>
        <item x="362"/>
        <item x="250"/>
        <item x="143"/>
        <item x="274"/>
        <item x="556"/>
        <item x="58"/>
        <item x="240"/>
        <item x="442"/>
        <item x="210"/>
        <item x="137"/>
        <item x="360"/>
        <item x="364"/>
        <item x="88"/>
        <item x="313"/>
        <item x="229"/>
        <item x="365"/>
        <item x="586"/>
        <item x="139"/>
        <item x="102"/>
        <item x="222"/>
        <item x="403"/>
        <item x="290"/>
        <item x="284"/>
        <item x="25"/>
        <item x="220"/>
        <item x="562"/>
        <item x="176"/>
        <item x="445"/>
        <item x="280"/>
        <item x="380"/>
        <item x="339"/>
        <item x="49"/>
        <item x="51"/>
        <item x="116"/>
        <item x="570"/>
        <item x="3"/>
        <item x="19"/>
        <item x="327"/>
        <item x="99"/>
        <item x="399"/>
        <item x="500"/>
        <item x="407"/>
        <item x="167"/>
        <item x="253"/>
        <item x="363"/>
        <item x="174"/>
        <item x="257"/>
        <item x="80"/>
        <item x="263"/>
        <item x="75"/>
        <item x="286"/>
        <item x="578"/>
        <item x="107"/>
        <item x="585"/>
        <item x="571"/>
        <item x="533"/>
        <item x="502"/>
        <item x="59"/>
        <item x="326"/>
        <item x="23"/>
        <item x="307"/>
        <item x="31"/>
        <item x="373"/>
        <item x="404"/>
        <item x="349"/>
        <item x="390"/>
        <item x="91"/>
        <item x="397"/>
        <item x="368"/>
        <item x="242"/>
        <item x="322"/>
        <item x="243"/>
        <item x="577"/>
        <item x="262"/>
        <item x="223"/>
        <item x="117"/>
        <item x="495"/>
        <item x="555"/>
        <item x="372"/>
        <item x="285"/>
        <item x="355"/>
        <item x="124"/>
        <item x="119"/>
        <item x="525"/>
        <item x="486"/>
        <item x="104"/>
        <item x="255"/>
        <item x="476"/>
        <item x="493"/>
        <item x="106"/>
        <item x="319"/>
        <item x="303"/>
        <item x="269"/>
        <item x="488"/>
        <item x="171"/>
        <item x="306"/>
        <item x="166"/>
        <item x="231"/>
        <item x="82"/>
        <item x="594"/>
        <item x="227"/>
        <item x="224"/>
        <item x="53"/>
        <item x="386"/>
        <item x="595"/>
        <item x="617"/>
        <item x="74"/>
        <item x="266"/>
        <item x="208"/>
        <item x="369"/>
        <item x="357"/>
        <item x="359"/>
        <item x="557"/>
        <item x="5"/>
        <item x="2"/>
        <item x="283"/>
        <item x="67"/>
        <item x="480"/>
        <item x="305"/>
        <item x="142"/>
        <item x="199"/>
        <item x="310"/>
        <item x="114"/>
        <item x="17"/>
        <item x="328"/>
        <item x="46"/>
        <item x="103"/>
        <item x="41"/>
        <item x="37"/>
        <item x="72"/>
        <item x="249"/>
        <item x="256"/>
        <item x="96"/>
        <item x="209"/>
        <item x="76"/>
        <item x="508"/>
        <item x="482"/>
        <item x="367"/>
        <item x="444"/>
        <item x="321"/>
        <item x="258"/>
        <item x="400"/>
        <item x="79"/>
        <item x="172"/>
        <item x="294"/>
        <item x="620"/>
        <item x="600"/>
        <item x="21"/>
        <item x="336"/>
        <item x="546"/>
        <item x="616"/>
        <item x="510"/>
        <item x="604"/>
        <item x="543"/>
        <item x="147"/>
        <item x="293"/>
        <item x="94"/>
        <item x="320"/>
        <item x="385"/>
        <item x="150"/>
        <item x="149"/>
        <item x="291"/>
        <item x="112"/>
        <item x="454"/>
        <item x="185"/>
        <item x="186"/>
        <item x="205"/>
        <item x="195"/>
        <item x="189"/>
        <item x="177"/>
        <item x="182"/>
        <item t="default"/>
      </items>
    </pivotField>
    <pivotField showAll="0">
      <items count="93">
        <item x="19"/>
        <item x="63"/>
        <item x="50"/>
        <item x="24"/>
        <item x="6"/>
        <item x="11"/>
        <item x="18"/>
        <item x="68"/>
        <item x="15"/>
        <item x="2"/>
        <item x="59"/>
        <item x="21"/>
        <item x="67"/>
        <item x="32"/>
        <item x="60"/>
        <item x="12"/>
        <item x="66"/>
        <item x="0"/>
        <item x="53"/>
        <item x="64"/>
        <item x="86"/>
        <item x="56"/>
        <item x="43"/>
        <item x="49"/>
        <item x="48"/>
        <item x="14"/>
        <item x="44"/>
        <item x="1"/>
        <item x="54"/>
        <item x="91"/>
        <item x="37"/>
        <item x="90"/>
        <item x="89"/>
        <item x="46"/>
        <item x="61"/>
        <item x="13"/>
        <item x="58"/>
        <item x="57"/>
        <item x="34"/>
        <item x="27"/>
        <item x="88"/>
        <item x="87"/>
        <item x="25"/>
        <item x="70"/>
        <item x="3"/>
        <item x="81"/>
        <item x="82"/>
        <item x="85"/>
        <item x="75"/>
        <item x="38"/>
        <item x="7"/>
        <item x="79"/>
        <item x="52"/>
        <item x="20"/>
        <item x="72"/>
        <item x="5"/>
        <item x="65"/>
        <item x="40"/>
        <item x="41"/>
        <item x="36"/>
        <item x="8"/>
        <item x="84"/>
        <item x="16"/>
        <item x="69"/>
        <item x="77"/>
        <item x="22"/>
        <item x="4"/>
        <item x="73"/>
        <item x="26"/>
        <item x="28"/>
        <item x="33"/>
        <item x="71"/>
        <item x="29"/>
        <item x="80"/>
        <item x="9"/>
        <item x="23"/>
        <item x="35"/>
        <item x="31"/>
        <item x="74"/>
        <item x="76"/>
        <item x="30"/>
        <item x="47"/>
        <item x="62"/>
        <item x="17"/>
        <item x="42"/>
        <item x="39"/>
        <item x="51"/>
        <item x="45"/>
        <item x="83"/>
        <item x="10"/>
        <item x="78"/>
        <item x="55"/>
        <item t="default"/>
      </items>
    </pivotField>
    <pivotField showAll="0">
      <items count="4">
        <item x="1"/>
        <item x="0"/>
        <item x="2"/>
        <item t="default"/>
      </items>
    </pivotField>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Visa_Fee_USD" fld="9" subtotal="average" baseField="0" baseItem="0" numFmtId="164"/>
  </dataFields>
  <formats count="3">
    <format dxfId="19">
      <pivotArea outline="0" collapsedLevelsAreSubtotals="1" fieldPosition="0"/>
    </format>
    <format dxfId="18">
      <pivotArea dataOnly="0" labelOnly="1" outline="0" axis="axisValues" fieldPosition="0"/>
    </format>
    <format dxfId="1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424704-1ABA-448D-AA0F-EAC6D05B92A3}"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2:I23" firstHeaderRow="1" firstDataRow="1" firstDataCol="1"/>
  <pivotFields count="14">
    <pivotField axis="axisRow" showAll="0" measureFilter="1" sortType="descending">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autoSortScope>
        <pivotArea dataOnly="0" outline="0" fieldPosition="0">
          <references count="1">
            <reference field="4294967294" count="1" selected="0">
              <x v="0"/>
            </reference>
          </references>
        </pivotArea>
      </autoSortScope>
    </pivotField>
    <pivotField showAll="0">
      <items count="557">
        <item x="254"/>
        <item x="81"/>
        <item x="43"/>
        <item x="163"/>
        <item x="190"/>
        <item x="357"/>
        <item x="464"/>
        <item x="68"/>
        <item x="367"/>
        <item x="387"/>
        <item x="531"/>
        <item x="372"/>
        <item x="515"/>
        <item x="555"/>
        <item x="361"/>
        <item x="465"/>
        <item x="490"/>
        <item x="6"/>
        <item x="536"/>
        <item x="324"/>
        <item x="19"/>
        <item x="488"/>
        <item x="339"/>
        <item x="332"/>
        <item x="431"/>
        <item x="77"/>
        <item x="208"/>
        <item x="381"/>
        <item x="123"/>
        <item x="243"/>
        <item x="20"/>
        <item x="16"/>
        <item x="21"/>
        <item x="279"/>
        <item x="230"/>
        <item x="90"/>
        <item x="392"/>
        <item x="42"/>
        <item x="548"/>
        <item x="124"/>
        <item x="53"/>
        <item x="399"/>
        <item x="33"/>
        <item x="195"/>
        <item x="12"/>
        <item x="460"/>
        <item x="105"/>
        <item x="502"/>
        <item x="396"/>
        <item x="246"/>
        <item x="48"/>
        <item x="52"/>
        <item x="156"/>
        <item x="418"/>
        <item x="302"/>
        <item x="101"/>
        <item x="454"/>
        <item x="257"/>
        <item x="384"/>
        <item x="298"/>
        <item x="234"/>
        <item x="149"/>
        <item x="414"/>
        <item x="30"/>
        <item x="95"/>
        <item x="277"/>
        <item x="407"/>
        <item x="84"/>
        <item x="262"/>
        <item x="228"/>
        <item x="22"/>
        <item x="203"/>
        <item x="18"/>
        <item x="405"/>
        <item x="385"/>
        <item x="323"/>
        <item x="131"/>
        <item x="520"/>
        <item x="486"/>
        <item x="335"/>
        <item x="15"/>
        <item x="468"/>
        <item x="130"/>
        <item x="118"/>
        <item x="393"/>
        <item x="0"/>
        <item x="358"/>
        <item x="36"/>
        <item x="480"/>
        <item x="129"/>
        <item x="104"/>
        <item x="415"/>
        <item x="430"/>
        <item x="533"/>
        <item x="319"/>
        <item x="170"/>
        <item x="364"/>
        <item x="177"/>
        <item x="356"/>
        <item x="89"/>
        <item x="458"/>
        <item x="350"/>
        <item x="489"/>
        <item x="506"/>
        <item x="273"/>
        <item x="390"/>
        <item x="275"/>
        <item x="186"/>
        <item x="233"/>
        <item x="182"/>
        <item x="411"/>
        <item x="481"/>
        <item x="11"/>
        <item x="432"/>
        <item x="236"/>
        <item x="187"/>
        <item x="215"/>
        <item x="417"/>
        <item x="475"/>
        <item x="445"/>
        <item x="546"/>
        <item x="171"/>
        <item x="46"/>
        <item x="547"/>
        <item x="83"/>
        <item x="74"/>
        <item x="474"/>
        <item x="97"/>
        <item x="217"/>
        <item x="326"/>
        <item x="34"/>
        <item x="359"/>
        <item x="419"/>
        <item x="239"/>
        <item x="541"/>
        <item x="498"/>
        <item x="408"/>
        <item x="532"/>
        <item x="320"/>
        <item x="78"/>
        <item x="125"/>
        <item x="14"/>
        <item x="456"/>
        <item x="199"/>
        <item x="276"/>
        <item x="92"/>
        <item x="188"/>
        <item x="40"/>
        <item x="136"/>
        <item x="137"/>
        <item x="263"/>
        <item x="391"/>
        <item x="331"/>
        <item x="245"/>
        <item x="194"/>
        <item x="197"/>
        <item x="441"/>
        <item x="282"/>
        <item x="437"/>
        <item x="303"/>
        <item x="373"/>
        <item x="232"/>
        <item x="87"/>
        <item x="159"/>
        <item x="382"/>
        <item x="62"/>
        <item x="286"/>
        <item x="447"/>
        <item x="184"/>
        <item x="45"/>
        <item x="406"/>
        <item x="155"/>
        <item x="325"/>
        <item x="455"/>
        <item x="366"/>
        <item x="260"/>
        <item x="41"/>
        <item x="70"/>
        <item x="274"/>
        <item x="307"/>
        <item x="290"/>
        <item x="219"/>
        <item x="147"/>
        <item x="138"/>
        <item x="296"/>
        <item x="167"/>
        <item x="467"/>
        <item x="172"/>
        <item x="337"/>
        <item x="398"/>
        <item x="108"/>
        <item x="80"/>
        <item x="106"/>
        <item x="165"/>
        <item x="86"/>
        <item x="341"/>
        <item x="370"/>
        <item x="507"/>
        <item x="32"/>
        <item x="56"/>
        <item x="299"/>
        <item x="201"/>
        <item x="269"/>
        <item x="67"/>
        <item x="495"/>
        <item x="135"/>
        <item x="71"/>
        <item x="24"/>
        <item x="267"/>
        <item x="209"/>
        <item x="369"/>
        <item x="401"/>
        <item x="175"/>
        <item x="305"/>
        <item x="309"/>
        <item x="477"/>
        <item x="511"/>
        <item x="120"/>
        <item x="127"/>
        <item x="328"/>
        <item x="132"/>
        <item x="539"/>
        <item x="85"/>
        <item x="268"/>
        <item x="540"/>
        <item x="483"/>
        <item x="258"/>
        <item x="66"/>
        <item x="379"/>
        <item x="82"/>
        <item x="283"/>
        <item x="416"/>
        <item x="344"/>
        <item x="334"/>
        <item x="352"/>
        <item x="210"/>
        <item x="198"/>
        <item x="516"/>
        <item x="360"/>
        <item x="514"/>
        <item x="220"/>
        <item x="402"/>
        <item x="310"/>
        <item x="65"/>
        <item x="259"/>
        <item x="349"/>
        <item x="404"/>
        <item x="517"/>
        <item x="526"/>
        <item x="389"/>
        <item x="264"/>
        <item x="47"/>
        <item x="542"/>
        <item x="472"/>
        <item x="265"/>
        <item x="499"/>
        <item x="500"/>
        <item x="59"/>
        <item x="497"/>
        <item x="446"/>
        <item x="436"/>
        <item x="134"/>
        <item x="206"/>
        <item x="261"/>
        <item x="434"/>
        <item x="154"/>
        <item x="98"/>
        <item x="191"/>
        <item x="143"/>
        <item x="315"/>
        <item x="322"/>
        <item x="346"/>
        <item x="150"/>
        <item x="425"/>
        <item x="427"/>
        <item x="237"/>
        <item x="278"/>
        <item x="295"/>
        <item x="25"/>
        <item x="231"/>
        <item x="189"/>
        <item x="501"/>
        <item x="410"/>
        <item x="482"/>
        <item x="1"/>
        <item x="107"/>
        <item x="180"/>
        <item x="202"/>
        <item x="336"/>
        <item x="161"/>
        <item x="158"/>
        <item x="37"/>
        <item x="386"/>
        <item x="508"/>
        <item x="256"/>
        <item x="146"/>
        <item x="139"/>
        <item x="93"/>
        <item x="287"/>
        <item x="553"/>
        <item x="409"/>
        <item x="478"/>
        <item x="461"/>
        <item x="49"/>
        <item x="376"/>
        <item x="509"/>
        <item x="444"/>
        <item x="545"/>
        <item x="519"/>
        <item x="238"/>
        <item x="388"/>
        <item x="543"/>
        <item x="550"/>
        <item x="3"/>
        <item x="453"/>
        <item x="311"/>
        <item x="122"/>
        <item x="54"/>
        <item x="96"/>
        <item x="342"/>
        <item x="544"/>
        <item x="440"/>
        <item x="223"/>
        <item x="351"/>
        <item x="291"/>
        <item x="462"/>
        <item x="153"/>
        <item x="221"/>
        <item x="121"/>
        <item x="492"/>
        <item x="355"/>
        <item x="4"/>
        <item x="60"/>
        <item x="375"/>
        <item x="528"/>
        <item x="166"/>
        <item x="308"/>
        <item x="91"/>
        <item x="160"/>
        <item x="178"/>
        <item x="126"/>
        <item x="72"/>
        <item x="148"/>
        <item x="421"/>
        <item x="140"/>
        <item x="554"/>
        <item x="518"/>
        <item x="214"/>
        <item x="103"/>
        <item x="525"/>
        <item x="510"/>
        <item x="330"/>
        <item x="248"/>
        <item x="524"/>
        <item x="473"/>
        <item x="58"/>
        <item x="442"/>
        <item x="57"/>
        <item x="23"/>
        <item x="457"/>
        <item x="252"/>
        <item x="31"/>
        <item x="216"/>
        <item x="318"/>
        <item x="280"/>
        <item x="466"/>
        <item x="449"/>
        <item x="8"/>
        <item x="294"/>
        <item x="493"/>
        <item x="333"/>
        <item x="538"/>
        <item x="69"/>
        <item x="88"/>
        <item x="365"/>
        <item x="340"/>
        <item x="313"/>
        <item x="116"/>
        <item x="452"/>
        <item x="471"/>
        <item x="211"/>
        <item x="174"/>
        <item x="371"/>
        <item x="241"/>
        <item x="272"/>
        <item x="363"/>
        <item x="212"/>
        <item x="400"/>
        <item x="28"/>
        <item x="227"/>
        <item x="179"/>
        <item x="301"/>
        <item x="450"/>
        <item x="374"/>
        <item x="110"/>
        <item x="204"/>
        <item x="306"/>
        <item x="459"/>
        <item x="424"/>
        <item x="522"/>
        <item x="185"/>
        <item x="377"/>
        <item x="192"/>
        <item x="368"/>
        <item x="112"/>
        <item x="151"/>
        <item x="383"/>
        <item x="314"/>
        <item x="469"/>
        <item x="435"/>
        <item x="354"/>
        <item x="485"/>
        <item x="133"/>
        <item x="288"/>
        <item x="439"/>
        <item x="253"/>
        <item x="353"/>
        <item x="55"/>
        <item x="205"/>
        <item x="494"/>
        <item x="327"/>
        <item x="484"/>
        <item x="317"/>
        <item x="523"/>
        <item x="470"/>
        <item x="378"/>
        <item x="300"/>
        <item x="348"/>
        <item x="512"/>
        <item x="38"/>
        <item x="235"/>
        <item x="321"/>
        <item x="521"/>
        <item x="443"/>
        <item x="505"/>
        <item x="513"/>
        <item x="537"/>
        <item x="429"/>
        <item x="423"/>
        <item x="119"/>
        <item x="63"/>
        <item x="114"/>
        <item x="39"/>
        <item x="413"/>
        <item x="61"/>
        <item x="13"/>
        <item x="297"/>
        <item x="426"/>
        <item x="552"/>
        <item x="164"/>
        <item x="362"/>
        <item x="100"/>
        <item x="128"/>
        <item x="115"/>
        <item x="527"/>
        <item x="491"/>
        <item x="7"/>
        <item x="266"/>
        <item x="242"/>
        <item x="463"/>
        <item x="380"/>
        <item x="529"/>
        <item x="433"/>
        <item x="102"/>
        <item x="428"/>
        <item x="157"/>
        <item x="113"/>
        <item x="29"/>
        <item x="251"/>
        <item x="10"/>
        <item x="152"/>
        <item x="200"/>
        <item x="79"/>
        <item x="534"/>
        <item x="226"/>
        <item x="76"/>
        <item x="403"/>
        <item x="196"/>
        <item x="193"/>
        <item x="176"/>
        <item x="207"/>
        <item x="51"/>
        <item x="530"/>
        <item x="329"/>
        <item x="535"/>
        <item x="551"/>
        <item x="549"/>
        <item x="27"/>
        <item x="487"/>
        <item x="247"/>
        <item x="451"/>
        <item x="504"/>
        <item x="503"/>
        <item x="26"/>
        <item x="94"/>
        <item x="289"/>
        <item x="225"/>
        <item x="316"/>
        <item x="141"/>
        <item x="395"/>
        <item x="496"/>
        <item x="5"/>
        <item x="338"/>
        <item x="229"/>
        <item x="2"/>
        <item x="145"/>
        <item x="75"/>
        <item x="476"/>
        <item x="224"/>
        <item x="249"/>
        <item x="244"/>
        <item x="438"/>
        <item x="64"/>
        <item x="420"/>
        <item x="293"/>
        <item x="250"/>
        <item x="173"/>
        <item x="213"/>
        <item x="281"/>
        <item x="271"/>
        <item x="181"/>
        <item x="117"/>
        <item x="142"/>
        <item x="285"/>
        <item x="255"/>
        <item x="292"/>
        <item x="50"/>
        <item x="479"/>
        <item x="347"/>
        <item x="109"/>
        <item x="17"/>
        <item x="284"/>
        <item x="304"/>
        <item x="144"/>
        <item x="412"/>
        <item x="44"/>
        <item x="99"/>
        <item x="240"/>
        <item x="35"/>
        <item x="270"/>
        <item x="183"/>
        <item x="218"/>
        <item x="222"/>
        <item x="111"/>
        <item x="162"/>
        <item x="73"/>
        <item x="394"/>
        <item x="168"/>
        <item x="345"/>
        <item x="169"/>
        <item x="343"/>
        <item x="397"/>
        <item x="448"/>
        <item x="422"/>
        <item x="312"/>
        <item x="9"/>
        <item t="default"/>
      </items>
    </pivotField>
    <pivotField showAll="0">
      <items count="623">
        <item x="603"/>
        <item x="160"/>
        <item x="158"/>
        <item x="45"/>
        <item x="299"/>
        <item x="178"/>
        <item x="511"/>
        <item x="591"/>
        <item x="460"/>
        <item x="474"/>
        <item x="424"/>
        <item x="610"/>
        <item x="426"/>
        <item x="396"/>
        <item x="419"/>
        <item x="461"/>
        <item x="494"/>
        <item x="135"/>
        <item x="130"/>
        <item x="568"/>
        <item x="520"/>
        <item x="420"/>
        <item x="388"/>
        <item x="596"/>
        <item x="279"/>
        <item x="553"/>
        <item x="545"/>
        <item x="344"/>
        <item x="97"/>
        <item x="239"/>
        <item x="440"/>
        <item x="377"/>
        <item x="296"/>
        <item x="583"/>
        <item x="38"/>
        <item x="334"/>
        <item x="449"/>
        <item x="549"/>
        <item x="537"/>
        <item x="559"/>
        <item x="464"/>
        <item x="125"/>
        <item x="469"/>
        <item x="234"/>
        <item x="378"/>
        <item x="580"/>
        <item x="547"/>
        <item x="504"/>
        <item x="410"/>
        <item x="108"/>
        <item x="121"/>
        <item x="371"/>
        <item x="324"/>
        <item x="478"/>
        <item x="77"/>
        <item x="28"/>
        <item x="414"/>
        <item x="196"/>
        <item x="197"/>
        <item x="129"/>
        <item x="204"/>
        <item x="192"/>
        <item x="131"/>
        <item x="132"/>
        <item x="246"/>
        <item x="567"/>
        <item x="487"/>
        <item x="113"/>
        <item x="248"/>
        <item x="402"/>
        <item x="473"/>
        <item x="592"/>
        <item x="193"/>
        <item x="95"/>
        <item x="219"/>
        <item x="501"/>
        <item x="384"/>
        <item x="168"/>
        <item x="57"/>
        <item x="401"/>
        <item x="527"/>
        <item x="34"/>
        <item x="9"/>
        <item x="472"/>
        <item x="593"/>
        <item x="270"/>
        <item x="579"/>
        <item x="375"/>
        <item x="54"/>
        <item x="180"/>
        <item x="441"/>
        <item x="457"/>
        <item x="466"/>
        <item x="20"/>
        <item x="381"/>
        <item x="515"/>
        <item x="275"/>
        <item x="161"/>
        <item x="73"/>
        <item x="575"/>
        <item x="203"/>
        <item x="190"/>
        <item x="0"/>
        <item x="490"/>
        <item x="398"/>
        <item x="140"/>
        <item x="33"/>
        <item x="232"/>
        <item x="70"/>
        <item x="24"/>
        <item x="65"/>
        <item x="544"/>
        <item x="273"/>
        <item x="458"/>
        <item x="561"/>
        <item x="413"/>
        <item x="417"/>
        <item x="428"/>
        <item x="438"/>
        <item x="422"/>
        <item x="432"/>
        <item x="612"/>
        <item x="598"/>
        <item x="1"/>
        <item x="201"/>
        <item x="44"/>
        <item x="565"/>
        <item x="165"/>
        <item x="159"/>
        <item x="451"/>
        <item x="463"/>
        <item x="483"/>
        <item x="534"/>
        <item x="572"/>
        <item x="608"/>
        <item x="295"/>
        <item x="597"/>
        <item x="383"/>
        <item x="448"/>
        <item x="78"/>
        <item x="350"/>
        <item x="408"/>
        <item x="93"/>
        <item x="48"/>
        <item x="69"/>
        <item x="335"/>
        <item x="391"/>
        <item x="241"/>
        <item x="605"/>
        <item x="415"/>
        <item x="576"/>
        <item x="418"/>
        <item x="574"/>
        <item x="601"/>
        <item x="621"/>
        <item x="138"/>
        <item x="217"/>
        <item x="251"/>
        <item x="85"/>
        <item x="68"/>
        <item x="188"/>
        <item x="10"/>
        <item x="18"/>
        <item x="560"/>
        <item x="532"/>
        <item x="61"/>
        <item x="194"/>
        <item x="64"/>
        <item x="259"/>
        <item x="237"/>
        <item x="260"/>
        <item x="115"/>
        <item x="528"/>
        <item x="552"/>
        <item x="536"/>
        <item x="289"/>
        <item x="89"/>
        <item x="148"/>
        <item x="337"/>
        <item x="329"/>
        <item x="338"/>
        <item x="300"/>
        <item x="470"/>
        <item x="233"/>
        <item x="39"/>
        <item x="315"/>
        <item x="456"/>
        <item x="450"/>
        <item x="569"/>
        <item x="144"/>
        <item x="434"/>
        <item x="609"/>
        <item x="331"/>
        <item x="287"/>
        <item x="252"/>
        <item x="111"/>
        <item x="118"/>
        <item x="468"/>
        <item x="379"/>
        <item x="30"/>
        <item x="517"/>
        <item x="484"/>
        <item x="264"/>
        <item x="370"/>
        <item x="126"/>
        <item x="611"/>
        <item x="62"/>
        <item x="588"/>
        <item x="183"/>
        <item x="151"/>
        <item x="27"/>
        <item x="128"/>
        <item x="492"/>
        <item x="513"/>
        <item x="506"/>
        <item x="499"/>
        <item x="7"/>
        <item x="214"/>
        <item x="509"/>
        <item x="110"/>
        <item x="312"/>
        <item x="282"/>
        <item x="245"/>
        <item x="309"/>
        <item x="387"/>
        <item x="298"/>
        <item x="314"/>
        <item x="156"/>
        <item x="36"/>
        <item x="47"/>
        <item x="155"/>
        <item x="584"/>
        <item x="211"/>
        <item x="216"/>
        <item x="60"/>
        <item x="471"/>
        <item x="247"/>
        <item x="179"/>
        <item x="531"/>
        <item x="56"/>
        <item x="348"/>
        <item x="455"/>
        <item x="429"/>
        <item x="292"/>
        <item x="200"/>
        <item x="423"/>
        <item x="206"/>
        <item x="489"/>
        <item x="485"/>
        <item x="412"/>
        <item x="212"/>
        <item x="15"/>
        <item x="550"/>
        <item x="235"/>
        <item x="254"/>
        <item x="109"/>
        <item x="265"/>
        <item x="145"/>
        <item x="436"/>
        <item x="452"/>
        <item x="267"/>
        <item x="308"/>
        <item x="236"/>
        <item x="529"/>
        <item x="582"/>
        <item x="84"/>
        <item x="462"/>
        <item x="405"/>
        <item x="573"/>
        <item x="343"/>
        <item x="406"/>
        <item x="13"/>
        <item x="181"/>
        <item x="564"/>
        <item x="587"/>
        <item x="187"/>
        <item x="435"/>
        <item x="152"/>
        <item x="425"/>
        <item x="154"/>
        <item x="157"/>
        <item x="523"/>
        <item x="8"/>
        <item x="271"/>
        <item x="409"/>
        <item x="29"/>
        <item x="184"/>
        <item x="191"/>
        <item x="202"/>
        <item x="433"/>
        <item x="590"/>
        <item x="133"/>
        <item x="153"/>
        <item x="238"/>
        <item x="394"/>
        <item x="615"/>
        <item x="302"/>
        <item x="297"/>
        <item x="374"/>
        <item x="311"/>
        <item x="4"/>
        <item x="539"/>
        <item x="346"/>
        <item x="361"/>
        <item x="26"/>
        <item x="215"/>
        <item x="439"/>
        <item x="146"/>
        <item x="63"/>
        <item x="66"/>
        <item x="395"/>
        <item x="467"/>
        <item x="14"/>
        <item x="12"/>
        <item x="87"/>
        <item x="86"/>
        <item x="35"/>
        <item x="81"/>
        <item x="141"/>
        <item x="345"/>
        <item x="83"/>
        <item x="272"/>
        <item x="341"/>
        <item x="430"/>
        <item x="376"/>
        <item x="50"/>
        <item x="278"/>
        <item x="100"/>
        <item x="40"/>
        <item x="207"/>
        <item x="393"/>
        <item x="503"/>
        <item x="479"/>
        <item x="356"/>
        <item x="437"/>
        <item x="427"/>
        <item x="421"/>
        <item x="431"/>
        <item x="465"/>
        <item x="304"/>
        <item x="618"/>
        <item x="122"/>
        <item x="614"/>
        <item x="198"/>
        <item x="244"/>
        <item x="392"/>
        <item x="332"/>
        <item x="619"/>
        <item x="127"/>
        <item x="261"/>
        <item x="416"/>
        <item x="607"/>
        <item x="366"/>
        <item x="538"/>
        <item x="496"/>
        <item x="447"/>
        <item x="475"/>
        <item x="535"/>
        <item x="613"/>
        <item x="351"/>
        <item x="522"/>
        <item x="581"/>
        <item x="554"/>
        <item x="512"/>
        <item x="352"/>
        <item x="589"/>
        <item x="606"/>
        <item x="459"/>
        <item x="453"/>
        <item x="566"/>
        <item x="542"/>
        <item x="558"/>
        <item x="443"/>
        <item x="498"/>
        <item x="530"/>
        <item x="340"/>
        <item x="599"/>
        <item x="491"/>
        <item x="505"/>
        <item x="519"/>
        <item x="518"/>
        <item x="551"/>
        <item x="526"/>
        <item x="164"/>
        <item x="120"/>
        <item x="162"/>
        <item x="602"/>
        <item x="347"/>
        <item x="342"/>
        <item x="281"/>
        <item x="101"/>
        <item x="548"/>
        <item x="221"/>
        <item x="71"/>
        <item x="317"/>
        <item x="446"/>
        <item x="497"/>
        <item x="42"/>
        <item x="333"/>
        <item x="6"/>
        <item x="389"/>
        <item x="16"/>
        <item x="330"/>
        <item x="521"/>
        <item x="55"/>
        <item x="175"/>
        <item x="226"/>
        <item x="563"/>
        <item x="301"/>
        <item x="170"/>
        <item x="105"/>
        <item x="353"/>
        <item x="277"/>
        <item x="163"/>
        <item x="316"/>
        <item x="22"/>
        <item x="52"/>
        <item x="136"/>
        <item x="123"/>
        <item x="32"/>
        <item x="268"/>
        <item x="323"/>
        <item x="540"/>
        <item x="134"/>
        <item x="514"/>
        <item x="92"/>
        <item x="325"/>
        <item x="276"/>
        <item x="98"/>
        <item x="541"/>
        <item x="11"/>
        <item x="477"/>
        <item x="354"/>
        <item x="481"/>
        <item x="382"/>
        <item x="288"/>
        <item x="411"/>
        <item x="516"/>
        <item x="230"/>
        <item x="318"/>
        <item x="218"/>
        <item x="225"/>
        <item x="228"/>
        <item x="358"/>
        <item x="213"/>
        <item x="90"/>
        <item x="173"/>
        <item x="507"/>
        <item x="169"/>
        <item x="524"/>
        <item x="43"/>
        <item x="362"/>
        <item x="250"/>
        <item x="143"/>
        <item x="274"/>
        <item x="556"/>
        <item x="58"/>
        <item x="240"/>
        <item x="442"/>
        <item x="210"/>
        <item x="137"/>
        <item x="360"/>
        <item x="364"/>
        <item x="88"/>
        <item x="313"/>
        <item x="229"/>
        <item x="365"/>
        <item x="586"/>
        <item x="139"/>
        <item x="102"/>
        <item x="222"/>
        <item x="403"/>
        <item x="290"/>
        <item x="284"/>
        <item x="25"/>
        <item x="220"/>
        <item x="562"/>
        <item x="176"/>
        <item x="445"/>
        <item x="280"/>
        <item x="380"/>
        <item x="339"/>
        <item x="49"/>
        <item x="51"/>
        <item x="116"/>
        <item x="570"/>
        <item x="3"/>
        <item x="19"/>
        <item x="327"/>
        <item x="99"/>
        <item x="399"/>
        <item x="500"/>
        <item x="407"/>
        <item x="167"/>
        <item x="253"/>
        <item x="363"/>
        <item x="174"/>
        <item x="257"/>
        <item x="80"/>
        <item x="263"/>
        <item x="75"/>
        <item x="286"/>
        <item x="578"/>
        <item x="107"/>
        <item x="585"/>
        <item x="571"/>
        <item x="533"/>
        <item x="502"/>
        <item x="59"/>
        <item x="326"/>
        <item x="23"/>
        <item x="307"/>
        <item x="31"/>
        <item x="373"/>
        <item x="404"/>
        <item x="349"/>
        <item x="390"/>
        <item x="91"/>
        <item x="397"/>
        <item x="368"/>
        <item x="242"/>
        <item x="322"/>
        <item x="243"/>
        <item x="577"/>
        <item x="262"/>
        <item x="223"/>
        <item x="117"/>
        <item x="495"/>
        <item x="555"/>
        <item x="372"/>
        <item x="285"/>
        <item x="355"/>
        <item x="124"/>
        <item x="119"/>
        <item x="525"/>
        <item x="486"/>
        <item x="104"/>
        <item x="255"/>
        <item x="476"/>
        <item x="493"/>
        <item x="106"/>
        <item x="319"/>
        <item x="303"/>
        <item x="269"/>
        <item x="488"/>
        <item x="171"/>
        <item x="306"/>
        <item x="166"/>
        <item x="231"/>
        <item x="82"/>
        <item x="594"/>
        <item x="227"/>
        <item x="224"/>
        <item x="53"/>
        <item x="386"/>
        <item x="595"/>
        <item x="617"/>
        <item x="74"/>
        <item x="266"/>
        <item x="208"/>
        <item x="369"/>
        <item x="357"/>
        <item x="359"/>
        <item x="557"/>
        <item x="5"/>
        <item x="2"/>
        <item x="283"/>
        <item x="67"/>
        <item x="480"/>
        <item x="305"/>
        <item x="142"/>
        <item x="199"/>
        <item x="310"/>
        <item x="114"/>
        <item x="17"/>
        <item x="328"/>
        <item x="46"/>
        <item x="103"/>
        <item x="41"/>
        <item x="37"/>
        <item x="72"/>
        <item x="249"/>
        <item x="256"/>
        <item x="96"/>
        <item x="209"/>
        <item x="76"/>
        <item x="508"/>
        <item x="482"/>
        <item x="367"/>
        <item x="444"/>
        <item x="321"/>
        <item x="258"/>
        <item x="400"/>
        <item x="79"/>
        <item x="172"/>
        <item x="294"/>
        <item x="620"/>
        <item x="600"/>
        <item x="21"/>
        <item x="336"/>
        <item x="546"/>
        <item x="616"/>
        <item x="510"/>
        <item x="604"/>
        <item x="543"/>
        <item x="147"/>
        <item x="293"/>
        <item x="94"/>
        <item x="320"/>
        <item x="385"/>
        <item x="150"/>
        <item x="149"/>
        <item x="291"/>
        <item x="112"/>
        <item x="454"/>
        <item x="185"/>
        <item x="186"/>
        <item x="205"/>
        <item x="195"/>
        <item x="189"/>
        <item x="177"/>
        <item x="182"/>
        <item t="default"/>
      </items>
    </pivotField>
    <pivotField showAll="0">
      <items count="93">
        <item x="19"/>
        <item x="63"/>
        <item x="50"/>
        <item x="24"/>
        <item x="6"/>
        <item x="11"/>
        <item x="18"/>
        <item x="68"/>
        <item x="15"/>
        <item x="2"/>
        <item x="59"/>
        <item x="21"/>
        <item x="67"/>
        <item x="32"/>
        <item x="60"/>
        <item x="12"/>
        <item x="66"/>
        <item x="0"/>
        <item x="53"/>
        <item x="64"/>
        <item x="86"/>
        <item x="56"/>
        <item x="43"/>
        <item x="49"/>
        <item x="48"/>
        <item x="14"/>
        <item x="44"/>
        <item x="1"/>
        <item x="54"/>
        <item x="91"/>
        <item x="37"/>
        <item x="90"/>
        <item x="89"/>
        <item x="46"/>
        <item x="61"/>
        <item x="13"/>
        <item x="58"/>
        <item x="57"/>
        <item x="34"/>
        <item x="27"/>
        <item x="88"/>
        <item x="87"/>
        <item x="25"/>
        <item x="70"/>
        <item x="3"/>
        <item x="81"/>
        <item x="82"/>
        <item x="85"/>
        <item x="75"/>
        <item x="38"/>
        <item x="7"/>
        <item x="79"/>
        <item x="52"/>
        <item x="20"/>
        <item x="72"/>
        <item x="5"/>
        <item x="65"/>
        <item x="40"/>
        <item x="41"/>
        <item x="36"/>
        <item x="8"/>
        <item x="84"/>
        <item x="16"/>
        <item x="69"/>
        <item x="77"/>
        <item x="22"/>
        <item x="4"/>
        <item x="73"/>
        <item x="26"/>
        <item x="28"/>
        <item x="33"/>
        <item x="71"/>
        <item x="29"/>
        <item x="80"/>
        <item x="9"/>
        <item x="23"/>
        <item x="35"/>
        <item x="31"/>
        <item x="74"/>
        <item x="76"/>
        <item x="30"/>
        <item x="47"/>
        <item x="62"/>
        <item x="17"/>
        <item x="42"/>
        <item x="39"/>
        <item x="51"/>
        <item x="45"/>
        <item x="83"/>
        <item x="10"/>
        <item x="78"/>
        <item x="55"/>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dataField="1" showAll="0"/>
  </pivotFields>
  <rowFields count="1">
    <field x="0"/>
  </rowFields>
  <rowItems count="21">
    <i>
      <x v="20"/>
    </i>
    <i>
      <x v="8"/>
    </i>
    <i>
      <x v="30"/>
    </i>
    <i>
      <x v="67"/>
    </i>
    <i>
      <x v="37"/>
    </i>
    <i>
      <x v="58"/>
    </i>
    <i>
      <x v="52"/>
    </i>
    <i>
      <x v="7"/>
    </i>
    <i>
      <x v="40"/>
    </i>
    <i>
      <x v="32"/>
    </i>
    <i>
      <x v="5"/>
    </i>
    <i>
      <x v="27"/>
    </i>
    <i>
      <x v="62"/>
    </i>
    <i>
      <x v="14"/>
    </i>
    <i>
      <x/>
    </i>
    <i>
      <x v="55"/>
    </i>
    <i>
      <x v="60"/>
    </i>
    <i>
      <x v="1"/>
    </i>
    <i>
      <x v="70"/>
    </i>
    <i>
      <x v="43"/>
    </i>
    <i t="grand">
      <x/>
    </i>
  </rowItems>
  <colItems count="1">
    <i/>
  </colItems>
  <dataFields count="1">
    <dataField name="Sum of Total_Study_Cost" fld="13" baseField="0" baseItem="0" numFmtId="167"/>
  </dataFields>
  <chartFormats count="5">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0" count="1" selected="0">
            <x v="27"/>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9162E4-B152-44ED-B4EA-961AEDDA5B37}" name="PivotTable2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A53" firstHeaderRow="1" firstDataRow="1" firstDataCol="0"/>
  <pivotFields count="14">
    <pivotField showAll="0">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pivotField>
    <pivotField showAll="0">
      <items count="557">
        <item x="254"/>
        <item x="81"/>
        <item x="43"/>
        <item x="163"/>
        <item x="190"/>
        <item x="357"/>
        <item x="464"/>
        <item x="68"/>
        <item x="367"/>
        <item x="387"/>
        <item x="531"/>
        <item x="372"/>
        <item x="515"/>
        <item x="555"/>
        <item x="361"/>
        <item x="465"/>
        <item x="490"/>
        <item x="6"/>
        <item x="536"/>
        <item x="324"/>
        <item x="19"/>
        <item x="488"/>
        <item x="339"/>
        <item x="332"/>
        <item x="431"/>
        <item x="77"/>
        <item x="208"/>
        <item x="381"/>
        <item x="123"/>
        <item x="243"/>
        <item x="20"/>
        <item x="16"/>
        <item x="21"/>
        <item x="279"/>
        <item x="230"/>
        <item x="90"/>
        <item x="392"/>
        <item x="42"/>
        <item x="548"/>
        <item x="124"/>
        <item x="53"/>
        <item x="399"/>
        <item x="33"/>
        <item x="195"/>
        <item x="12"/>
        <item x="460"/>
        <item x="105"/>
        <item x="502"/>
        <item x="396"/>
        <item x="246"/>
        <item x="48"/>
        <item x="52"/>
        <item x="156"/>
        <item x="418"/>
        <item x="302"/>
        <item x="101"/>
        <item x="454"/>
        <item x="257"/>
        <item x="384"/>
        <item x="298"/>
        <item x="234"/>
        <item x="149"/>
        <item x="414"/>
        <item x="30"/>
        <item x="95"/>
        <item x="277"/>
        <item x="407"/>
        <item x="84"/>
        <item x="262"/>
        <item x="228"/>
        <item x="22"/>
        <item x="203"/>
        <item x="18"/>
        <item x="405"/>
        <item x="385"/>
        <item x="323"/>
        <item x="131"/>
        <item x="520"/>
        <item x="486"/>
        <item x="335"/>
        <item x="15"/>
        <item x="468"/>
        <item x="130"/>
        <item x="118"/>
        <item x="393"/>
        <item x="0"/>
        <item x="358"/>
        <item x="36"/>
        <item x="480"/>
        <item x="129"/>
        <item x="104"/>
        <item x="415"/>
        <item x="430"/>
        <item x="533"/>
        <item x="319"/>
        <item x="170"/>
        <item x="364"/>
        <item x="177"/>
        <item x="356"/>
        <item x="89"/>
        <item x="458"/>
        <item x="350"/>
        <item x="489"/>
        <item x="506"/>
        <item x="273"/>
        <item x="390"/>
        <item x="275"/>
        <item x="186"/>
        <item x="233"/>
        <item x="182"/>
        <item x="411"/>
        <item x="481"/>
        <item x="11"/>
        <item x="432"/>
        <item x="236"/>
        <item x="187"/>
        <item x="215"/>
        <item x="417"/>
        <item x="475"/>
        <item x="445"/>
        <item x="546"/>
        <item x="171"/>
        <item x="46"/>
        <item x="547"/>
        <item x="83"/>
        <item x="74"/>
        <item x="474"/>
        <item x="97"/>
        <item x="217"/>
        <item x="326"/>
        <item x="34"/>
        <item x="359"/>
        <item x="419"/>
        <item x="239"/>
        <item x="541"/>
        <item x="498"/>
        <item x="408"/>
        <item x="532"/>
        <item x="320"/>
        <item x="78"/>
        <item x="125"/>
        <item x="14"/>
        <item x="456"/>
        <item x="199"/>
        <item x="276"/>
        <item x="92"/>
        <item x="188"/>
        <item x="40"/>
        <item x="136"/>
        <item x="137"/>
        <item x="263"/>
        <item x="391"/>
        <item x="331"/>
        <item x="245"/>
        <item x="194"/>
        <item x="197"/>
        <item x="441"/>
        <item x="282"/>
        <item x="437"/>
        <item x="303"/>
        <item x="373"/>
        <item x="232"/>
        <item x="87"/>
        <item x="159"/>
        <item x="382"/>
        <item x="62"/>
        <item x="286"/>
        <item x="447"/>
        <item x="184"/>
        <item x="45"/>
        <item x="406"/>
        <item x="155"/>
        <item x="325"/>
        <item x="455"/>
        <item x="366"/>
        <item x="260"/>
        <item x="41"/>
        <item x="70"/>
        <item x="274"/>
        <item x="307"/>
        <item x="290"/>
        <item x="219"/>
        <item x="147"/>
        <item x="138"/>
        <item x="296"/>
        <item x="167"/>
        <item x="467"/>
        <item x="172"/>
        <item x="337"/>
        <item x="398"/>
        <item x="108"/>
        <item x="80"/>
        <item x="106"/>
        <item x="165"/>
        <item x="86"/>
        <item x="341"/>
        <item x="370"/>
        <item x="507"/>
        <item x="32"/>
        <item x="56"/>
        <item x="299"/>
        <item x="201"/>
        <item x="269"/>
        <item x="67"/>
        <item x="495"/>
        <item x="135"/>
        <item x="71"/>
        <item x="24"/>
        <item x="267"/>
        <item x="209"/>
        <item x="369"/>
        <item x="401"/>
        <item x="175"/>
        <item x="305"/>
        <item x="309"/>
        <item x="477"/>
        <item x="511"/>
        <item x="120"/>
        <item x="127"/>
        <item x="328"/>
        <item x="132"/>
        <item x="539"/>
        <item x="85"/>
        <item x="268"/>
        <item x="540"/>
        <item x="483"/>
        <item x="258"/>
        <item x="66"/>
        <item x="379"/>
        <item x="82"/>
        <item x="283"/>
        <item x="416"/>
        <item x="344"/>
        <item x="334"/>
        <item x="352"/>
        <item x="210"/>
        <item x="198"/>
        <item x="516"/>
        <item x="360"/>
        <item x="514"/>
        <item x="220"/>
        <item x="402"/>
        <item x="310"/>
        <item x="65"/>
        <item x="259"/>
        <item x="349"/>
        <item x="404"/>
        <item x="517"/>
        <item x="526"/>
        <item x="389"/>
        <item x="264"/>
        <item x="47"/>
        <item x="542"/>
        <item x="472"/>
        <item x="265"/>
        <item x="499"/>
        <item x="500"/>
        <item x="59"/>
        <item x="497"/>
        <item x="446"/>
        <item x="436"/>
        <item x="134"/>
        <item x="206"/>
        <item x="261"/>
        <item x="434"/>
        <item x="154"/>
        <item x="98"/>
        <item x="191"/>
        <item x="143"/>
        <item x="315"/>
        <item x="322"/>
        <item x="346"/>
        <item x="150"/>
        <item x="425"/>
        <item x="427"/>
        <item x="237"/>
        <item x="278"/>
        <item x="295"/>
        <item x="25"/>
        <item x="231"/>
        <item x="189"/>
        <item x="501"/>
        <item x="410"/>
        <item x="482"/>
        <item x="1"/>
        <item x="107"/>
        <item x="180"/>
        <item x="202"/>
        <item x="336"/>
        <item x="161"/>
        <item x="158"/>
        <item x="37"/>
        <item x="386"/>
        <item x="508"/>
        <item x="256"/>
        <item x="146"/>
        <item x="139"/>
        <item x="93"/>
        <item x="287"/>
        <item x="553"/>
        <item x="409"/>
        <item x="478"/>
        <item x="461"/>
        <item x="49"/>
        <item x="376"/>
        <item x="509"/>
        <item x="444"/>
        <item x="545"/>
        <item x="519"/>
        <item x="238"/>
        <item x="388"/>
        <item x="543"/>
        <item x="550"/>
        <item x="3"/>
        <item x="453"/>
        <item x="311"/>
        <item x="122"/>
        <item x="54"/>
        <item x="96"/>
        <item x="342"/>
        <item x="544"/>
        <item x="440"/>
        <item x="223"/>
        <item x="351"/>
        <item x="291"/>
        <item x="462"/>
        <item x="153"/>
        <item x="221"/>
        <item x="121"/>
        <item x="492"/>
        <item x="355"/>
        <item x="4"/>
        <item x="60"/>
        <item x="375"/>
        <item x="528"/>
        <item x="166"/>
        <item x="308"/>
        <item x="91"/>
        <item x="160"/>
        <item x="178"/>
        <item x="126"/>
        <item x="72"/>
        <item x="148"/>
        <item x="421"/>
        <item x="140"/>
        <item x="554"/>
        <item x="518"/>
        <item x="214"/>
        <item x="103"/>
        <item x="525"/>
        <item x="510"/>
        <item x="330"/>
        <item x="248"/>
        <item x="524"/>
        <item x="473"/>
        <item x="58"/>
        <item x="442"/>
        <item x="57"/>
        <item x="23"/>
        <item x="457"/>
        <item x="252"/>
        <item x="31"/>
        <item x="216"/>
        <item x="318"/>
        <item x="280"/>
        <item x="466"/>
        <item x="449"/>
        <item x="8"/>
        <item x="294"/>
        <item x="493"/>
        <item x="333"/>
        <item x="538"/>
        <item x="69"/>
        <item x="88"/>
        <item x="365"/>
        <item x="340"/>
        <item x="313"/>
        <item x="116"/>
        <item x="452"/>
        <item x="471"/>
        <item x="211"/>
        <item x="174"/>
        <item x="371"/>
        <item x="241"/>
        <item x="272"/>
        <item x="363"/>
        <item x="212"/>
        <item x="400"/>
        <item x="28"/>
        <item x="227"/>
        <item x="179"/>
        <item x="301"/>
        <item x="450"/>
        <item x="374"/>
        <item x="110"/>
        <item x="204"/>
        <item x="306"/>
        <item x="459"/>
        <item x="424"/>
        <item x="522"/>
        <item x="185"/>
        <item x="377"/>
        <item x="192"/>
        <item x="368"/>
        <item x="112"/>
        <item x="151"/>
        <item x="383"/>
        <item x="314"/>
        <item x="469"/>
        <item x="435"/>
        <item x="354"/>
        <item x="485"/>
        <item x="133"/>
        <item x="288"/>
        <item x="439"/>
        <item x="253"/>
        <item x="353"/>
        <item x="55"/>
        <item x="205"/>
        <item x="494"/>
        <item x="327"/>
        <item x="484"/>
        <item x="317"/>
        <item x="523"/>
        <item x="470"/>
        <item x="378"/>
        <item x="300"/>
        <item x="348"/>
        <item x="512"/>
        <item x="38"/>
        <item x="235"/>
        <item x="321"/>
        <item x="521"/>
        <item x="443"/>
        <item x="505"/>
        <item x="513"/>
        <item x="537"/>
        <item x="429"/>
        <item x="423"/>
        <item x="119"/>
        <item x="63"/>
        <item x="114"/>
        <item x="39"/>
        <item x="413"/>
        <item x="61"/>
        <item x="13"/>
        <item x="297"/>
        <item x="426"/>
        <item x="552"/>
        <item x="164"/>
        <item x="362"/>
        <item x="100"/>
        <item x="128"/>
        <item x="115"/>
        <item x="527"/>
        <item x="491"/>
        <item x="7"/>
        <item x="266"/>
        <item x="242"/>
        <item x="463"/>
        <item x="380"/>
        <item x="529"/>
        <item x="433"/>
        <item x="102"/>
        <item x="428"/>
        <item x="157"/>
        <item x="113"/>
        <item x="29"/>
        <item x="251"/>
        <item x="10"/>
        <item x="152"/>
        <item x="200"/>
        <item x="79"/>
        <item x="534"/>
        <item x="226"/>
        <item x="76"/>
        <item x="403"/>
        <item x="196"/>
        <item x="193"/>
        <item x="176"/>
        <item x="207"/>
        <item x="51"/>
        <item x="530"/>
        <item x="329"/>
        <item x="535"/>
        <item x="551"/>
        <item x="549"/>
        <item x="27"/>
        <item x="487"/>
        <item x="247"/>
        <item x="451"/>
        <item x="504"/>
        <item x="503"/>
        <item x="26"/>
        <item x="94"/>
        <item x="289"/>
        <item x="225"/>
        <item x="316"/>
        <item x="141"/>
        <item x="395"/>
        <item x="496"/>
        <item x="5"/>
        <item x="338"/>
        <item x="229"/>
        <item x="2"/>
        <item x="145"/>
        <item x="75"/>
        <item x="476"/>
        <item x="224"/>
        <item x="249"/>
        <item x="244"/>
        <item x="438"/>
        <item x="64"/>
        <item x="420"/>
        <item x="293"/>
        <item x="250"/>
        <item x="173"/>
        <item x="213"/>
        <item x="281"/>
        <item x="271"/>
        <item x="181"/>
        <item x="117"/>
        <item x="142"/>
        <item x="285"/>
        <item x="255"/>
        <item x="292"/>
        <item x="50"/>
        <item x="479"/>
        <item x="347"/>
        <item x="109"/>
        <item x="17"/>
        <item x="284"/>
        <item x="304"/>
        <item x="144"/>
        <item x="412"/>
        <item x="44"/>
        <item x="99"/>
        <item x="240"/>
        <item x="35"/>
        <item x="270"/>
        <item x="183"/>
        <item x="218"/>
        <item x="222"/>
        <item x="111"/>
        <item x="162"/>
        <item x="73"/>
        <item x="394"/>
        <item x="168"/>
        <item x="345"/>
        <item x="169"/>
        <item x="343"/>
        <item x="397"/>
        <item x="448"/>
        <item x="422"/>
        <item x="312"/>
        <item x="9"/>
        <item t="default"/>
      </items>
    </pivotField>
    <pivotField showAll="0">
      <items count="623">
        <item x="603"/>
        <item x="160"/>
        <item x="158"/>
        <item x="45"/>
        <item x="299"/>
        <item x="178"/>
        <item x="511"/>
        <item x="591"/>
        <item x="460"/>
        <item x="474"/>
        <item x="424"/>
        <item x="610"/>
        <item x="426"/>
        <item x="396"/>
        <item x="419"/>
        <item x="461"/>
        <item x="494"/>
        <item x="135"/>
        <item x="130"/>
        <item x="568"/>
        <item x="520"/>
        <item x="420"/>
        <item x="388"/>
        <item x="596"/>
        <item x="279"/>
        <item x="553"/>
        <item x="545"/>
        <item x="344"/>
        <item x="97"/>
        <item x="239"/>
        <item x="440"/>
        <item x="377"/>
        <item x="296"/>
        <item x="583"/>
        <item x="38"/>
        <item x="334"/>
        <item x="449"/>
        <item x="549"/>
        <item x="537"/>
        <item x="559"/>
        <item x="464"/>
        <item x="125"/>
        <item x="469"/>
        <item x="234"/>
        <item x="378"/>
        <item x="580"/>
        <item x="547"/>
        <item x="504"/>
        <item x="410"/>
        <item x="108"/>
        <item x="121"/>
        <item x="371"/>
        <item x="324"/>
        <item x="478"/>
        <item x="77"/>
        <item x="28"/>
        <item x="414"/>
        <item x="196"/>
        <item x="197"/>
        <item x="129"/>
        <item x="204"/>
        <item x="192"/>
        <item x="131"/>
        <item x="132"/>
        <item x="246"/>
        <item x="567"/>
        <item x="487"/>
        <item x="113"/>
        <item x="248"/>
        <item x="402"/>
        <item x="473"/>
        <item x="592"/>
        <item x="193"/>
        <item x="95"/>
        <item x="219"/>
        <item x="501"/>
        <item x="384"/>
        <item x="168"/>
        <item x="57"/>
        <item x="401"/>
        <item x="527"/>
        <item x="34"/>
        <item x="9"/>
        <item x="472"/>
        <item x="593"/>
        <item x="270"/>
        <item x="579"/>
        <item x="375"/>
        <item x="54"/>
        <item x="180"/>
        <item x="441"/>
        <item x="457"/>
        <item x="466"/>
        <item x="20"/>
        <item x="381"/>
        <item x="515"/>
        <item x="275"/>
        <item x="161"/>
        <item x="73"/>
        <item x="575"/>
        <item x="203"/>
        <item x="190"/>
        <item x="0"/>
        <item x="490"/>
        <item x="398"/>
        <item x="140"/>
        <item x="33"/>
        <item x="232"/>
        <item x="70"/>
        <item x="24"/>
        <item x="65"/>
        <item x="544"/>
        <item x="273"/>
        <item x="458"/>
        <item x="561"/>
        <item x="413"/>
        <item x="417"/>
        <item x="428"/>
        <item x="438"/>
        <item x="422"/>
        <item x="432"/>
        <item x="612"/>
        <item x="598"/>
        <item x="1"/>
        <item x="201"/>
        <item x="44"/>
        <item x="565"/>
        <item x="165"/>
        <item x="159"/>
        <item x="451"/>
        <item x="463"/>
        <item x="483"/>
        <item x="534"/>
        <item x="572"/>
        <item x="608"/>
        <item x="295"/>
        <item x="597"/>
        <item x="383"/>
        <item x="448"/>
        <item x="78"/>
        <item x="350"/>
        <item x="408"/>
        <item x="93"/>
        <item x="48"/>
        <item x="69"/>
        <item x="335"/>
        <item x="391"/>
        <item x="241"/>
        <item x="605"/>
        <item x="415"/>
        <item x="576"/>
        <item x="418"/>
        <item x="574"/>
        <item x="601"/>
        <item x="621"/>
        <item x="138"/>
        <item x="217"/>
        <item x="251"/>
        <item x="85"/>
        <item x="68"/>
        <item x="188"/>
        <item x="10"/>
        <item x="18"/>
        <item x="560"/>
        <item x="532"/>
        <item x="61"/>
        <item x="194"/>
        <item x="64"/>
        <item x="259"/>
        <item x="237"/>
        <item x="260"/>
        <item x="115"/>
        <item x="528"/>
        <item x="552"/>
        <item x="536"/>
        <item x="289"/>
        <item x="89"/>
        <item x="148"/>
        <item x="337"/>
        <item x="329"/>
        <item x="338"/>
        <item x="300"/>
        <item x="470"/>
        <item x="233"/>
        <item x="39"/>
        <item x="315"/>
        <item x="456"/>
        <item x="450"/>
        <item x="569"/>
        <item x="144"/>
        <item x="434"/>
        <item x="609"/>
        <item x="331"/>
        <item x="287"/>
        <item x="252"/>
        <item x="111"/>
        <item x="118"/>
        <item x="468"/>
        <item x="379"/>
        <item x="30"/>
        <item x="517"/>
        <item x="484"/>
        <item x="264"/>
        <item x="370"/>
        <item x="126"/>
        <item x="611"/>
        <item x="62"/>
        <item x="588"/>
        <item x="183"/>
        <item x="151"/>
        <item x="27"/>
        <item x="128"/>
        <item x="492"/>
        <item x="513"/>
        <item x="506"/>
        <item x="499"/>
        <item x="7"/>
        <item x="214"/>
        <item x="509"/>
        <item x="110"/>
        <item x="312"/>
        <item x="282"/>
        <item x="245"/>
        <item x="309"/>
        <item x="387"/>
        <item x="298"/>
        <item x="314"/>
        <item x="156"/>
        <item x="36"/>
        <item x="47"/>
        <item x="155"/>
        <item x="584"/>
        <item x="211"/>
        <item x="216"/>
        <item x="60"/>
        <item x="471"/>
        <item x="247"/>
        <item x="179"/>
        <item x="531"/>
        <item x="56"/>
        <item x="348"/>
        <item x="455"/>
        <item x="429"/>
        <item x="292"/>
        <item x="200"/>
        <item x="423"/>
        <item x="206"/>
        <item x="489"/>
        <item x="485"/>
        <item x="412"/>
        <item x="212"/>
        <item x="15"/>
        <item x="550"/>
        <item x="235"/>
        <item x="254"/>
        <item x="109"/>
        <item x="265"/>
        <item x="145"/>
        <item x="436"/>
        <item x="452"/>
        <item x="267"/>
        <item x="308"/>
        <item x="236"/>
        <item x="529"/>
        <item x="582"/>
        <item x="84"/>
        <item x="462"/>
        <item x="405"/>
        <item x="573"/>
        <item x="343"/>
        <item x="406"/>
        <item x="13"/>
        <item x="181"/>
        <item x="564"/>
        <item x="587"/>
        <item x="187"/>
        <item x="435"/>
        <item x="152"/>
        <item x="425"/>
        <item x="154"/>
        <item x="157"/>
        <item x="523"/>
        <item x="8"/>
        <item x="271"/>
        <item x="409"/>
        <item x="29"/>
        <item x="184"/>
        <item x="191"/>
        <item x="202"/>
        <item x="433"/>
        <item x="590"/>
        <item x="133"/>
        <item x="153"/>
        <item x="238"/>
        <item x="394"/>
        <item x="615"/>
        <item x="302"/>
        <item x="297"/>
        <item x="374"/>
        <item x="311"/>
        <item x="4"/>
        <item x="539"/>
        <item x="346"/>
        <item x="361"/>
        <item x="26"/>
        <item x="215"/>
        <item x="439"/>
        <item x="146"/>
        <item x="63"/>
        <item x="66"/>
        <item x="395"/>
        <item x="467"/>
        <item x="14"/>
        <item x="12"/>
        <item x="87"/>
        <item x="86"/>
        <item x="35"/>
        <item x="81"/>
        <item x="141"/>
        <item x="345"/>
        <item x="83"/>
        <item x="272"/>
        <item x="341"/>
        <item x="430"/>
        <item x="376"/>
        <item x="50"/>
        <item x="278"/>
        <item x="100"/>
        <item x="40"/>
        <item x="207"/>
        <item x="393"/>
        <item x="503"/>
        <item x="479"/>
        <item x="356"/>
        <item x="437"/>
        <item x="427"/>
        <item x="421"/>
        <item x="431"/>
        <item x="465"/>
        <item x="304"/>
        <item x="618"/>
        <item x="122"/>
        <item x="614"/>
        <item x="198"/>
        <item x="244"/>
        <item x="392"/>
        <item x="332"/>
        <item x="619"/>
        <item x="127"/>
        <item x="261"/>
        <item x="416"/>
        <item x="607"/>
        <item x="366"/>
        <item x="538"/>
        <item x="496"/>
        <item x="447"/>
        <item x="475"/>
        <item x="535"/>
        <item x="613"/>
        <item x="351"/>
        <item x="522"/>
        <item x="581"/>
        <item x="554"/>
        <item x="512"/>
        <item x="352"/>
        <item x="589"/>
        <item x="606"/>
        <item x="459"/>
        <item x="453"/>
        <item x="566"/>
        <item x="542"/>
        <item x="558"/>
        <item x="443"/>
        <item x="498"/>
        <item x="530"/>
        <item x="340"/>
        <item x="599"/>
        <item x="491"/>
        <item x="505"/>
        <item x="519"/>
        <item x="518"/>
        <item x="551"/>
        <item x="526"/>
        <item x="164"/>
        <item x="120"/>
        <item x="162"/>
        <item x="602"/>
        <item x="347"/>
        <item x="342"/>
        <item x="281"/>
        <item x="101"/>
        <item x="548"/>
        <item x="221"/>
        <item x="71"/>
        <item x="317"/>
        <item x="446"/>
        <item x="497"/>
        <item x="42"/>
        <item x="333"/>
        <item x="6"/>
        <item x="389"/>
        <item x="16"/>
        <item x="330"/>
        <item x="521"/>
        <item x="55"/>
        <item x="175"/>
        <item x="226"/>
        <item x="563"/>
        <item x="301"/>
        <item x="170"/>
        <item x="105"/>
        <item x="353"/>
        <item x="277"/>
        <item x="163"/>
        <item x="316"/>
        <item x="22"/>
        <item x="52"/>
        <item x="136"/>
        <item x="123"/>
        <item x="32"/>
        <item x="268"/>
        <item x="323"/>
        <item x="540"/>
        <item x="134"/>
        <item x="514"/>
        <item x="92"/>
        <item x="325"/>
        <item x="276"/>
        <item x="98"/>
        <item x="541"/>
        <item x="11"/>
        <item x="477"/>
        <item x="354"/>
        <item x="481"/>
        <item x="382"/>
        <item x="288"/>
        <item x="411"/>
        <item x="516"/>
        <item x="230"/>
        <item x="318"/>
        <item x="218"/>
        <item x="225"/>
        <item x="228"/>
        <item x="358"/>
        <item x="213"/>
        <item x="90"/>
        <item x="173"/>
        <item x="507"/>
        <item x="169"/>
        <item x="524"/>
        <item x="43"/>
        <item x="362"/>
        <item x="250"/>
        <item x="143"/>
        <item x="274"/>
        <item x="556"/>
        <item x="58"/>
        <item x="240"/>
        <item x="442"/>
        <item x="210"/>
        <item x="137"/>
        <item x="360"/>
        <item x="364"/>
        <item x="88"/>
        <item x="313"/>
        <item x="229"/>
        <item x="365"/>
        <item x="586"/>
        <item x="139"/>
        <item x="102"/>
        <item x="222"/>
        <item x="403"/>
        <item x="290"/>
        <item x="284"/>
        <item x="25"/>
        <item x="220"/>
        <item x="562"/>
        <item x="176"/>
        <item x="445"/>
        <item x="280"/>
        <item x="380"/>
        <item x="339"/>
        <item x="49"/>
        <item x="51"/>
        <item x="116"/>
        <item x="570"/>
        <item x="3"/>
        <item x="19"/>
        <item x="327"/>
        <item x="99"/>
        <item x="399"/>
        <item x="500"/>
        <item x="407"/>
        <item x="167"/>
        <item x="253"/>
        <item x="363"/>
        <item x="174"/>
        <item x="257"/>
        <item x="80"/>
        <item x="263"/>
        <item x="75"/>
        <item x="286"/>
        <item x="578"/>
        <item x="107"/>
        <item x="585"/>
        <item x="571"/>
        <item x="533"/>
        <item x="502"/>
        <item x="59"/>
        <item x="326"/>
        <item x="23"/>
        <item x="307"/>
        <item x="31"/>
        <item x="373"/>
        <item x="404"/>
        <item x="349"/>
        <item x="390"/>
        <item x="91"/>
        <item x="397"/>
        <item x="368"/>
        <item x="242"/>
        <item x="322"/>
        <item x="243"/>
        <item x="577"/>
        <item x="262"/>
        <item x="223"/>
        <item x="117"/>
        <item x="495"/>
        <item x="555"/>
        <item x="372"/>
        <item x="285"/>
        <item x="355"/>
        <item x="124"/>
        <item x="119"/>
        <item x="525"/>
        <item x="486"/>
        <item x="104"/>
        <item x="255"/>
        <item x="476"/>
        <item x="493"/>
        <item x="106"/>
        <item x="319"/>
        <item x="303"/>
        <item x="269"/>
        <item x="488"/>
        <item x="171"/>
        <item x="306"/>
        <item x="166"/>
        <item x="231"/>
        <item x="82"/>
        <item x="594"/>
        <item x="227"/>
        <item x="224"/>
        <item x="53"/>
        <item x="386"/>
        <item x="595"/>
        <item x="617"/>
        <item x="74"/>
        <item x="266"/>
        <item x="208"/>
        <item x="369"/>
        <item x="357"/>
        <item x="359"/>
        <item x="557"/>
        <item x="5"/>
        <item x="2"/>
        <item x="283"/>
        <item x="67"/>
        <item x="480"/>
        <item x="305"/>
        <item x="142"/>
        <item x="199"/>
        <item x="310"/>
        <item x="114"/>
        <item x="17"/>
        <item x="328"/>
        <item x="46"/>
        <item x="103"/>
        <item x="41"/>
        <item x="37"/>
        <item x="72"/>
        <item x="249"/>
        <item x="256"/>
        <item x="96"/>
        <item x="209"/>
        <item x="76"/>
        <item x="508"/>
        <item x="482"/>
        <item x="367"/>
        <item x="444"/>
        <item x="321"/>
        <item x="258"/>
        <item x="400"/>
        <item x="79"/>
        <item x="172"/>
        <item x="294"/>
        <item x="620"/>
        <item x="600"/>
        <item x="21"/>
        <item x="336"/>
        <item x="546"/>
        <item x="616"/>
        <item x="510"/>
        <item x="604"/>
        <item x="543"/>
        <item x="147"/>
        <item x="293"/>
        <item x="94"/>
        <item x="320"/>
        <item x="385"/>
        <item x="150"/>
        <item x="149"/>
        <item x="291"/>
        <item x="112"/>
        <item x="454"/>
        <item x="185"/>
        <item x="186"/>
        <item x="205"/>
        <item x="195"/>
        <item x="189"/>
        <item x="177"/>
        <item x="182"/>
        <item t="default"/>
      </items>
    </pivotField>
    <pivotField showAll="0">
      <items count="93">
        <item x="19"/>
        <item x="63"/>
        <item x="50"/>
        <item x="24"/>
        <item x="6"/>
        <item x="11"/>
        <item x="18"/>
        <item x="68"/>
        <item x="15"/>
        <item x="2"/>
        <item x="59"/>
        <item x="21"/>
        <item x="67"/>
        <item x="32"/>
        <item x="60"/>
        <item x="12"/>
        <item x="66"/>
        <item x="0"/>
        <item x="53"/>
        <item x="64"/>
        <item x="86"/>
        <item x="56"/>
        <item x="43"/>
        <item x="49"/>
        <item x="48"/>
        <item x="14"/>
        <item x="44"/>
        <item x="1"/>
        <item x="54"/>
        <item x="91"/>
        <item x="37"/>
        <item x="90"/>
        <item x="89"/>
        <item x="46"/>
        <item x="61"/>
        <item x="13"/>
        <item x="58"/>
        <item x="57"/>
        <item x="34"/>
        <item x="27"/>
        <item x="88"/>
        <item x="87"/>
        <item x="25"/>
        <item x="70"/>
        <item x="3"/>
        <item x="81"/>
        <item x="82"/>
        <item x="85"/>
        <item x="75"/>
        <item x="38"/>
        <item x="7"/>
        <item x="79"/>
        <item x="52"/>
        <item x="20"/>
        <item x="72"/>
        <item x="5"/>
        <item x="65"/>
        <item x="40"/>
        <item x="41"/>
        <item x="36"/>
        <item x="8"/>
        <item x="84"/>
        <item x="16"/>
        <item x="69"/>
        <item x="77"/>
        <item x="22"/>
        <item x="4"/>
        <item x="73"/>
        <item x="26"/>
        <item x="28"/>
        <item x="33"/>
        <item x="71"/>
        <item x="29"/>
        <item x="80"/>
        <item x="9"/>
        <item x="23"/>
        <item x="35"/>
        <item x="31"/>
        <item x="74"/>
        <item x="76"/>
        <item x="30"/>
        <item x="47"/>
        <item x="62"/>
        <item x="17"/>
        <item x="42"/>
        <item x="39"/>
        <item x="51"/>
        <item x="45"/>
        <item x="83"/>
        <item x="10"/>
        <item x="78"/>
        <item x="55"/>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Insurance_USD" fld="10" subtotal="average" baseField="0" baseItem="0" numFmtId="164"/>
  </dataFields>
  <formats count="3">
    <format dxfId="22">
      <pivotArea outline="0" collapsedLevelsAreSubtotals="1" fieldPosition="0"/>
    </format>
    <format dxfId="21">
      <pivotArea dataOnly="0" labelOnly="1" outline="0" axis="axisValues" fieldPosition="0"/>
    </format>
    <format dxfId="2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FC5798-01BA-47DA-B215-91B457A64669}"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1:C52" firstHeaderRow="1" firstDataRow="1" firstDataCol="0"/>
  <pivotFields count="14">
    <pivotField showAll="0">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pivotField>
    <pivotField showAll="0">
      <items count="557">
        <item x="254"/>
        <item x="81"/>
        <item x="43"/>
        <item x="163"/>
        <item x="190"/>
        <item x="357"/>
        <item x="464"/>
        <item x="68"/>
        <item x="367"/>
        <item x="387"/>
        <item x="531"/>
        <item x="372"/>
        <item x="515"/>
        <item x="555"/>
        <item x="361"/>
        <item x="465"/>
        <item x="490"/>
        <item x="6"/>
        <item x="536"/>
        <item x="324"/>
        <item x="19"/>
        <item x="488"/>
        <item x="339"/>
        <item x="332"/>
        <item x="431"/>
        <item x="77"/>
        <item x="208"/>
        <item x="381"/>
        <item x="123"/>
        <item x="243"/>
        <item x="20"/>
        <item x="16"/>
        <item x="21"/>
        <item x="279"/>
        <item x="230"/>
        <item x="90"/>
        <item x="392"/>
        <item x="42"/>
        <item x="548"/>
        <item x="124"/>
        <item x="53"/>
        <item x="399"/>
        <item x="33"/>
        <item x="195"/>
        <item x="12"/>
        <item x="460"/>
        <item x="105"/>
        <item x="502"/>
        <item x="396"/>
        <item x="246"/>
        <item x="48"/>
        <item x="52"/>
        <item x="156"/>
        <item x="418"/>
        <item x="302"/>
        <item x="101"/>
        <item x="454"/>
        <item x="257"/>
        <item x="384"/>
        <item x="298"/>
        <item x="234"/>
        <item x="149"/>
        <item x="414"/>
        <item x="30"/>
        <item x="95"/>
        <item x="277"/>
        <item x="407"/>
        <item x="84"/>
        <item x="262"/>
        <item x="228"/>
        <item x="22"/>
        <item x="203"/>
        <item x="18"/>
        <item x="405"/>
        <item x="385"/>
        <item x="323"/>
        <item x="131"/>
        <item x="520"/>
        <item x="486"/>
        <item x="335"/>
        <item x="15"/>
        <item x="468"/>
        <item x="130"/>
        <item x="118"/>
        <item x="393"/>
        <item x="0"/>
        <item x="358"/>
        <item x="36"/>
        <item x="480"/>
        <item x="129"/>
        <item x="104"/>
        <item x="415"/>
        <item x="430"/>
        <item x="533"/>
        <item x="319"/>
        <item x="170"/>
        <item x="364"/>
        <item x="177"/>
        <item x="356"/>
        <item x="89"/>
        <item x="458"/>
        <item x="350"/>
        <item x="489"/>
        <item x="506"/>
        <item x="273"/>
        <item x="390"/>
        <item x="275"/>
        <item x="186"/>
        <item x="233"/>
        <item x="182"/>
        <item x="411"/>
        <item x="481"/>
        <item x="11"/>
        <item x="432"/>
        <item x="236"/>
        <item x="187"/>
        <item x="215"/>
        <item x="417"/>
        <item x="475"/>
        <item x="445"/>
        <item x="546"/>
        <item x="171"/>
        <item x="46"/>
        <item x="547"/>
        <item x="83"/>
        <item x="74"/>
        <item x="474"/>
        <item x="97"/>
        <item x="217"/>
        <item x="326"/>
        <item x="34"/>
        <item x="359"/>
        <item x="419"/>
        <item x="239"/>
        <item x="541"/>
        <item x="498"/>
        <item x="408"/>
        <item x="532"/>
        <item x="320"/>
        <item x="78"/>
        <item x="125"/>
        <item x="14"/>
        <item x="456"/>
        <item x="199"/>
        <item x="276"/>
        <item x="92"/>
        <item x="188"/>
        <item x="40"/>
        <item x="136"/>
        <item x="137"/>
        <item x="263"/>
        <item x="391"/>
        <item x="331"/>
        <item x="245"/>
        <item x="194"/>
        <item x="197"/>
        <item x="441"/>
        <item x="282"/>
        <item x="437"/>
        <item x="303"/>
        <item x="373"/>
        <item x="232"/>
        <item x="87"/>
        <item x="159"/>
        <item x="382"/>
        <item x="62"/>
        <item x="286"/>
        <item x="447"/>
        <item x="184"/>
        <item x="45"/>
        <item x="406"/>
        <item x="155"/>
        <item x="325"/>
        <item x="455"/>
        <item x="366"/>
        <item x="260"/>
        <item x="41"/>
        <item x="70"/>
        <item x="274"/>
        <item x="307"/>
        <item x="290"/>
        <item x="219"/>
        <item x="147"/>
        <item x="138"/>
        <item x="296"/>
        <item x="167"/>
        <item x="467"/>
        <item x="172"/>
        <item x="337"/>
        <item x="398"/>
        <item x="108"/>
        <item x="80"/>
        <item x="106"/>
        <item x="165"/>
        <item x="86"/>
        <item x="341"/>
        <item x="370"/>
        <item x="507"/>
        <item x="32"/>
        <item x="56"/>
        <item x="299"/>
        <item x="201"/>
        <item x="269"/>
        <item x="67"/>
        <item x="495"/>
        <item x="135"/>
        <item x="71"/>
        <item x="24"/>
        <item x="267"/>
        <item x="209"/>
        <item x="369"/>
        <item x="401"/>
        <item x="175"/>
        <item x="305"/>
        <item x="309"/>
        <item x="477"/>
        <item x="511"/>
        <item x="120"/>
        <item x="127"/>
        <item x="328"/>
        <item x="132"/>
        <item x="539"/>
        <item x="85"/>
        <item x="268"/>
        <item x="540"/>
        <item x="483"/>
        <item x="258"/>
        <item x="66"/>
        <item x="379"/>
        <item x="82"/>
        <item x="283"/>
        <item x="416"/>
        <item x="344"/>
        <item x="334"/>
        <item x="352"/>
        <item x="210"/>
        <item x="198"/>
        <item x="516"/>
        <item x="360"/>
        <item x="514"/>
        <item x="220"/>
        <item x="402"/>
        <item x="310"/>
        <item x="65"/>
        <item x="259"/>
        <item x="349"/>
        <item x="404"/>
        <item x="517"/>
        <item x="526"/>
        <item x="389"/>
        <item x="264"/>
        <item x="47"/>
        <item x="542"/>
        <item x="472"/>
        <item x="265"/>
        <item x="499"/>
        <item x="500"/>
        <item x="59"/>
        <item x="497"/>
        <item x="446"/>
        <item x="436"/>
        <item x="134"/>
        <item x="206"/>
        <item x="261"/>
        <item x="434"/>
        <item x="154"/>
        <item x="98"/>
        <item x="191"/>
        <item x="143"/>
        <item x="315"/>
        <item x="322"/>
        <item x="346"/>
        <item x="150"/>
        <item x="425"/>
        <item x="427"/>
        <item x="237"/>
        <item x="278"/>
        <item x="295"/>
        <item x="25"/>
        <item x="231"/>
        <item x="189"/>
        <item x="501"/>
        <item x="410"/>
        <item x="482"/>
        <item x="1"/>
        <item x="107"/>
        <item x="180"/>
        <item x="202"/>
        <item x="336"/>
        <item x="161"/>
        <item x="158"/>
        <item x="37"/>
        <item x="386"/>
        <item x="508"/>
        <item x="256"/>
        <item x="146"/>
        <item x="139"/>
        <item x="93"/>
        <item x="287"/>
        <item x="553"/>
        <item x="409"/>
        <item x="478"/>
        <item x="461"/>
        <item x="49"/>
        <item x="376"/>
        <item x="509"/>
        <item x="444"/>
        <item x="545"/>
        <item x="519"/>
        <item x="238"/>
        <item x="388"/>
        <item x="543"/>
        <item x="550"/>
        <item x="3"/>
        <item x="453"/>
        <item x="311"/>
        <item x="122"/>
        <item x="54"/>
        <item x="96"/>
        <item x="342"/>
        <item x="544"/>
        <item x="440"/>
        <item x="223"/>
        <item x="351"/>
        <item x="291"/>
        <item x="462"/>
        <item x="153"/>
        <item x="221"/>
        <item x="121"/>
        <item x="492"/>
        <item x="355"/>
        <item x="4"/>
        <item x="60"/>
        <item x="375"/>
        <item x="528"/>
        <item x="166"/>
        <item x="308"/>
        <item x="91"/>
        <item x="160"/>
        <item x="178"/>
        <item x="126"/>
        <item x="72"/>
        <item x="148"/>
        <item x="421"/>
        <item x="140"/>
        <item x="554"/>
        <item x="518"/>
        <item x="214"/>
        <item x="103"/>
        <item x="525"/>
        <item x="510"/>
        <item x="330"/>
        <item x="248"/>
        <item x="524"/>
        <item x="473"/>
        <item x="58"/>
        <item x="442"/>
        <item x="57"/>
        <item x="23"/>
        <item x="457"/>
        <item x="252"/>
        <item x="31"/>
        <item x="216"/>
        <item x="318"/>
        <item x="280"/>
        <item x="466"/>
        <item x="449"/>
        <item x="8"/>
        <item x="294"/>
        <item x="493"/>
        <item x="333"/>
        <item x="538"/>
        <item x="69"/>
        <item x="88"/>
        <item x="365"/>
        <item x="340"/>
        <item x="313"/>
        <item x="116"/>
        <item x="452"/>
        <item x="471"/>
        <item x="211"/>
        <item x="174"/>
        <item x="371"/>
        <item x="241"/>
        <item x="272"/>
        <item x="363"/>
        <item x="212"/>
        <item x="400"/>
        <item x="28"/>
        <item x="227"/>
        <item x="179"/>
        <item x="301"/>
        <item x="450"/>
        <item x="374"/>
        <item x="110"/>
        <item x="204"/>
        <item x="306"/>
        <item x="459"/>
        <item x="424"/>
        <item x="522"/>
        <item x="185"/>
        <item x="377"/>
        <item x="192"/>
        <item x="368"/>
        <item x="112"/>
        <item x="151"/>
        <item x="383"/>
        <item x="314"/>
        <item x="469"/>
        <item x="435"/>
        <item x="354"/>
        <item x="485"/>
        <item x="133"/>
        <item x="288"/>
        <item x="439"/>
        <item x="253"/>
        <item x="353"/>
        <item x="55"/>
        <item x="205"/>
        <item x="494"/>
        <item x="327"/>
        <item x="484"/>
        <item x="317"/>
        <item x="523"/>
        <item x="470"/>
        <item x="378"/>
        <item x="300"/>
        <item x="348"/>
        <item x="512"/>
        <item x="38"/>
        <item x="235"/>
        <item x="321"/>
        <item x="521"/>
        <item x="443"/>
        <item x="505"/>
        <item x="513"/>
        <item x="537"/>
        <item x="429"/>
        <item x="423"/>
        <item x="119"/>
        <item x="63"/>
        <item x="114"/>
        <item x="39"/>
        <item x="413"/>
        <item x="61"/>
        <item x="13"/>
        <item x="297"/>
        <item x="426"/>
        <item x="552"/>
        <item x="164"/>
        <item x="362"/>
        <item x="100"/>
        <item x="128"/>
        <item x="115"/>
        <item x="527"/>
        <item x="491"/>
        <item x="7"/>
        <item x="266"/>
        <item x="242"/>
        <item x="463"/>
        <item x="380"/>
        <item x="529"/>
        <item x="433"/>
        <item x="102"/>
        <item x="428"/>
        <item x="157"/>
        <item x="113"/>
        <item x="29"/>
        <item x="251"/>
        <item x="10"/>
        <item x="152"/>
        <item x="200"/>
        <item x="79"/>
        <item x="534"/>
        <item x="226"/>
        <item x="76"/>
        <item x="403"/>
        <item x="196"/>
        <item x="193"/>
        <item x="176"/>
        <item x="207"/>
        <item x="51"/>
        <item x="530"/>
        <item x="329"/>
        <item x="535"/>
        <item x="551"/>
        <item x="549"/>
        <item x="27"/>
        <item x="487"/>
        <item x="247"/>
        <item x="451"/>
        <item x="504"/>
        <item x="503"/>
        <item x="26"/>
        <item x="94"/>
        <item x="289"/>
        <item x="225"/>
        <item x="316"/>
        <item x="141"/>
        <item x="395"/>
        <item x="496"/>
        <item x="5"/>
        <item x="338"/>
        <item x="229"/>
        <item x="2"/>
        <item x="145"/>
        <item x="75"/>
        <item x="476"/>
        <item x="224"/>
        <item x="249"/>
        <item x="244"/>
        <item x="438"/>
        <item x="64"/>
        <item x="420"/>
        <item x="293"/>
        <item x="250"/>
        <item x="173"/>
        <item x="213"/>
        <item x="281"/>
        <item x="271"/>
        <item x="181"/>
        <item x="117"/>
        <item x="142"/>
        <item x="285"/>
        <item x="255"/>
        <item x="292"/>
        <item x="50"/>
        <item x="479"/>
        <item x="347"/>
        <item x="109"/>
        <item x="17"/>
        <item x="284"/>
        <item x="304"/>
        <item x="144"/>
        <item x="412"/>
        <item x="44"/>
        <item x="99"/>
        <item x="240"/>
        <item x="35"/>
        <item x="270"/>
        <item x="183"/>
        <item x="218"/>
        <item x="222"/>
        <item x="111"/>
        <item x="162"/>
        <item x="73"/>
        <item x="394"/>
        <item x="168"/>
        <item x="345"/>
        <item x="169"/>
        <item x="343"/>
        <item x="397"/>
        <item x="448"/>
        <item x="422"/>
        <item x="312"/>
        <item x="9"/>
        <item t="default"/>
      </items>
    </pivotField>
    <pivotField showAll="0">
      <items count="623">
        <item x="603"/>
        <item x="160"/>
        <item x="158"/>
        <item x="45"/>
        <item x="299"/>
        <item x="178"/>
        <item x="511"/>
        <item x="591"/>
        <item x="460"/>
        <item x="474"/>
        <item x="424"/>
        <item x="610"/>
        <item x="426"/>
        <item x="396"/>
        <item x="419"/>
        <item x="461"/>
        <item x="494"/>
        <item x="135"/>
        <item x="130"/>
        <item x="568"/>
        <item x="520"/>
        <item x="420"/>
        <item x="388"/>
        <item x="596"/>
        <item x="279"/>
        <item x="553"/>
        <item x="545"/>
        <item x="344"/>
        <item x="97"/>
        <item x="239"/>
        <item x="440"/>
        <item x="377"/>
        <item x="296"/>
        <item x="583"/>
        <item x="38"/>
        <item x="334"/>
        <item x="449"/>
        <item x="549"/>
        <item x="537"/>
        <item x="559"/>
        <item x="464"/>
        <item x="125"/>
        <item x="469"/>
        <item x="234"/>
        <item x="378"/>
        <item x="580"/>
        <item x="547"/>
        <item x="504"/>
        <item x="410"/>
        <item x="108"/>
        <item x="121"/>
        <item x="371"/>
        <item x="324"/>
        <item x="478"/>
        <item x="77"/>
        <item x="28"/>
        <item x="414"/>
        <item x="196"/>
        <item x="197"/>
        <item x="129"/>
        <item x="204"/>
        <item x="192"/>
        <item x="131"/>
        <item x="132"/>
        <item x="246"/>
        <item x="567"/>
        <item x="487"/>
        <item x="113"/>
        <item x="248"/>
        <item x="402"/>
        <item x="473"/>
        <item x="592"/>
        <item x="193"/>
        <item x="95"/>
        <item x="219"/>
        <item x="501"/>
        <item x="384"/>
        <item x="168"/>
        <item x="57"/>
        <item x="401"/>
        <item x="527"/>
        <item x="34"/>
        <item x="9"/>
        <item x="472"/>
        <item x="593"/>
        <item x="270"/>
        <item x="579"/>
        <item x="375"/>
        <item x="54"/>
        <item x="180"/>
        <item x="441"/>
        <item x="457"/>
        <item x="466"/>
        <item x="20"/>
        <item x="381"/>
        <item x="515"/>
        <item x="275"/>
        <item x="161"/>
        <item x="73"/>
        <item x="575"/>
        <item x="203"/>
        <item x="190"/>
        <item x="0"/>
        <item x="490"/>
        <item x="398"/>
        <item x="140"/>
        <item x="33"/>
        <item x="232"/>
        <item x="70"/>
        <item x="24"/>
        <item x="65"/>
        <item x="544"/>
        <item x="273"/>
        <item x="458"/>
        <item x="561"/>
        <item x="413"/>
        <item x="417"/>
        <item x="428"/>
        <item x="438"/>
        <item x="422"/>
        <item x="432"/>
        <item x="612"/>
        <item x="598"/>
        <item x="1"/>
        <item x="201"/>
        <item x="44"/>
        <item x="565"/>
        <item x="165"/>
        <item x="159"/>
        <item x="451"/>
        <item x="463"/>
        <item x="483"/>
        <item x="534"/>
        <item x="572"/>
        <item x="608"/>
        <item x="295"/>
        <item x="597"/>
        <item x="383"/>
        <item x="448"/>
        <item x="78"/>
        <item x="350"/>
        <item x="408"/>
        <item x="93"/>
        <item x="48"/>
        <item x="69"/>
        <item x="335"/>
        <item x="391"/>
        <item x="241"/>
        <item x="605"/>
        <item x="415"/>
        <item x="576"/>
        <item x="418"/>
        <item x="574"/>
        <item x="601"/>
        <item x="621"/>
        <item x="138"/>
        <item x="217"/>
        <item x="251"/>
        <item x="85"/>
        <item x="68"/>
        <item x="188"/>
        <item x="10"/>
        <item x="18"/>
        <item x="560"/>
        <item x="532"/>
        <item x="61"/>
        <item x="194"/>
        <item x="64"/>
        <item x="259"/>
        <item x="237"/>
        <item x="260"/>
        <item x="115"/>
        <item x="528"/>
        <item x="552"/>
        <item x="536"/>
        <item x="289"/>
        <item x="89"/>
        <item x="148"/>
        <item x="337"/>
        <item x="329"/>
        <item x="338"/>
        <item x="300"/>
        <item x="470"/>
        <item x="233"/>
        <item x="39"/>
        <item x="315"/>
        <item x="456"/>
        <item x="450"/>
        <item x="569"/>
        <item x="144"/>
        <item x="434"/>
        <item x="609"/>
        <item x="331"/>
        <item x="287"/>
        <item x="252"/>
        <item x="111"/>
        <item x="118"/>
        <item x="468"/>
        <item x="379"/>
        <item x="30"/>
        <item x="517"/>
        <item x="484"/>
        <item x="264"/>
        <item x="370"/>
        <item x="126"/>
        <item x="611"/>
        <item x="62"/>
        <item x="588"/>
        <item x="183"/>
        <item x="151"/>
        <item x="27"/>
        <item x="128"/>
        <item x="492"/>
        <item x="513"/>
        <item x="506"/>
        <item x="499"/>
        <item x="7"/>
        <item x="214"/>
        <item x="509"/>
        <item x="110"/>
        <item x="312"/>
        <item x="282"/>
        <item x="245"/>
        <item x="309"/>
        <item x="387"/>
        <item x="298"/>
        <item x="314"/>
        <item x="156"/>
        <item x="36"/>
        <item x="47"/>
        <item x="155"/>
        <item x="584"/>
        <item x="211"/>
        <item x="216"/>
        <item x="60"/>
        <item x="471"/>
        <item x="247"/>
        <item x="179"/>
        <item x="531"/>
        <item x="56"/>
        <item x="348"/>
        <item x="455"/>
        <item x="429"/>
        <item x="292"/>
        <item x="200"/>
        <item x="423"/>
        <item x="206"/>
        <item x="489"/>
        <item x="485"/>
        <item x="412"/>
        <item x="212"/>
        <item x="15"/>
        <item x="550"/>
        <item x="235"/>
        <item x="254"/>
        <item x="109"/>
        <item x="265"/>
        <item x="145"/>
        <item x="436"/>
        <item x="452"/>
        <item x="267"/>
        <item x="308"/>
        <item x="236"/>
        <item x="529"/>
        <item x="582"/>
        <item x="84"/>
        <item x="462"/>
        <item x="405"/>
        <item x="573"/>
        <item x="343"/>
        <item x="406"/>
        <item x="13"/>
        <item x="181"/>
        <item x="564"/>
        <item x="587"/>
        <item x="187"/>
        <item x="435"/>
        <item x="152"/>
        <item x="425"/>
        <item x="154"/>
        <item x="157"/>
        <item x="523"/>
        <item x="8"/>
        <item x="271"/>
        <item x="409"/>
        <item x="29"/>
        <item x="184"/>
        <item x="191"/>
        <item x="202"/>
        <item x="433"/>
        <item x="590"/>
        <item x="133"/>
        <item x="153"/>
        <item x="238"/>
        <item x="394"/>
        <item x="615"/>
        <item x="302"/>
        <item x="297"/>
        <item x="374"/>
        <item x="311"/>
        <item x="4"/>
        <item x="539"/>
        <item x="346"/>
        <item x="361"/>
        <item x="26"/>
        <item x="215"/>
        <item x="439"/>
        <item x="146"/>
        <item x="63"/>
        <item x="66"/>
        <item x="395"/>
        <item x="467"/>
        <item x="14"/>
        <item x="12"/>
        <item x="87"/>
        <item x="86"/>
        <item x="35"/>
        <item x="81"/>
        <item x="141"/>
        <item x="345"/>
        <item x="83"/>
        <item x="272"/>
        <item x="341"/>
        <item x="430"/>
        <item x="376"/>
        <item x="50"/>
        <item x="278"/>
        <item x="100"/>
        <item x="40"/>
        <item x="207"/>
        <item x="393"/>
        <item x="503"/>
        <item x="479"/>
        <item x="356"/>
        <item x="437"/>
        <item x="427"/>
        <item x="421"/>
        <item x="431"/>
        <item x="465"/>
        <item x="304"/>
        <item x="618"/>
        <item x="122"/>
        <item x="614"/>
        <item x="198"/>
        <item x="244"/>
        <item x="392"/>
        <item x="332"/>
        <item x="619"/>
        <item x="127"/>
        <item x="261"/>
        <item x="416"/>
        <item x="607"/>
        <item x="366"/>
        <item x="538"/>
        <item x="496"/>
        <item x="447"/>
        <item x="475"/>
        <item x="535"/>
        <item x="613"/>
        <item x="351"/>
        <item x="522"/>
        <item x="581"/>
        <item x="554"/>
        <item x="512"/>
        <item x="352"/>
        <item x="589"/>
        <item x="606"/>
        <item x="459"/>
        <item x="453"/>
        <item x="566"/>
        <item x="542"/>
        <item x="558"/>
        <item x="443"/>
        <item x="498"/>
        <item x="530"/>
        <item x="340"/>
        <item x="599"/>
        <item x="491"/>
        <item x="505"/>
        <item x="519"/>
        <item x="518"/>
        <item x="551"/>
        <item x="526"/>
        <item x="164"/>
        <item x="120"/>
        <item x="162"/>
        <item x="602"/>
        <item x="347"/>
        <item x="342"/>
        <item x="281"/>
        <item x="101"/>
        <item x="548"/>
        <item x="221"/>
        <item x="71"/>
        <item x="317"/>
        <item x="446"/>
        <item x="497"/>
        <item x="42"/>
        <item x="333"/>
        <item x="6"/>
        <item x="389"/>
        <item x="16"/>
        <item x="330"/>
        <item x="521"/>
        <item x="55"/>
        <item x="175"/>
        <item x="226"/>
        <item x="563"/>
        <item x="301"/>
        <item x="170"/>
        <item x="105"/>
        <item x="353"/>
        <item x="277"/>
        <item x="163"/>
        <item x="316"/>
        <item x="22"/>
        <item x="52"/>
        <item x="136"/>
        <item x="123"/>
        <item x="32"/>
        <item x="268"/>
        <item x="323"/>
        <item x="540"/>
        <item x="134"/>
        <item x="514"/>
        <item x="92"/>
        <item x="325"/>
        <item x="276"/>
        <item x="98"/>
        <item x="541"/>
        <item x="11"/>
        <item x="477"/>
        <item x="354"/>
        <item x="481"/>
        <item x="382"/>
        <item x="288"/>
        <item x="411"/>
        <item x="516"/>
        <item x="230"/>
        <item x="318"/>
        <item x="218"/>
        <item x="225"/>
        <item x="228"/>
        <item x="358"/>
        <item x="213"/>
        <item x="90"/>
        <item x="173"/>
        <item x="507"/>
        <item x="169"/>
        <item x="524"/>
        <item x="43"/>
        <item x="362"/>
        <item x="250"/>
        <item x="143"/>
        <item x="274"/>
        <item x="556"/>
        <item x="58"/>
        <item x="240"/>
        <item x="442"/>
        <item x="210"/>
        <item x="137"/>
        <item x="360"/>
        <item x="364"/>
        <item x="88"/>
        <item x="313"/>
        <item x="229"/>
        <item x="365"/>
        <item x="586"/>
        <item x="139"/>
        <item x="102"/>
        <item x="222"/>
        <item x="403"/>
        <item x="290"/>
        <item x="284"/>
        <item x="25"/>
        <item x="220"/>
        <item x="562"/>
        <item x="176"/>
        <item x="445"/>
        <item x="280"/>
        <item x="380"/>
        <item x="339"/>
        <item x="49"/>
        <item x="51"/>
        <item x="116"/>
        <item x="570"/>
        <item x="3"/>
        <item x="19"/>
        <item x="327"/>
        <item x="99"/>
        <item x="399"/>
        <item x="500"/>
        <item x="407"/>
        <item x="167"/>
        <item x="253"/>
        <item x="363"/>
        <item x="174"/>
        <item x="257"/>
        <item x="80"/>
        <item x="263"/>
        <item x="75"/>
        <item x="286"/>
        <item x="578"/>
        <item x="107"/>
        <item x="585"/>
        <item x="571"/>
        <item x="533"/>
        <item x="502"/>
        <item x="59"/>
        <item x="326"/>
        <item x="23"/>
        <item x="307"/>
        <item x="31"/>
        <item x="373"/>
        <item x="404"/>
        <item x="349"/>
        <item x="390"/>
        <item x="91"/>
        <item x="397"/>
        <item x="368"/>
        <item x="242"/>
        <item x="322"/>
        <item x="243"/>
        <item x="577"/>
        <item x="262"/>
        <item x="223"/>
        <item x="117"/>
        <item x="495"/>
        <item x="555"/>
        <item x="372"/>
        <item x="285"/>
        <item x="355"/>
        <item x="124"/>
        <item x="119"/>
        <item x="525"/>
        <item x="486"/>
        <item x="104"/>
        <item x="255"/>
        <item x="476"/>
        <item x="493"/>
        <item x="106"/>
        <item x="319"/>
        <item x="303"/>
        <item x="269"/>
        <item x="488"/>
        <item x="171"/>
        <item x="306"/>
        <item x="166"/>
        <item x="231"/>
        <item x="82"/>
        <item x="594"/>
        <item x="227"/>
        <item x="224"/>
        <item x="53"/>
        <item x="386"/>
        <item x="595"/>
        <item x="617"/>
        <item x="74"/>
        <item x="266"/>
        <item x="208"/>
        <item x="369"/>
        <item x="357"/>
        <item x="359"/>
        <item x="557"/>
        <item x="5"/>
        <item x="2"/>
        <item x="283"/>
        <item x="67"/>
        <item x="480"/>
        <item x="305"/>
        <item x="142"/>
        <item x="199"/>
        <item x="310"/>
        <item x="114"/>
        <item x="17"/>
        <item x="328"/>
        <item x="46"/>
        <item x="103"/>
        <item x="41"/>
        <item x="37"/>
        <item x="72"/>
        <item x="249"/>
        <item x="256"/>
        <item x="96"/>
        <item x="209"/>
        <item x="76"/>
        <item x="508"/>
        <item x="482"/>
        <item x="367"/>
        <item x="444"/>
        <item x="321"/>
        <item x="258"/>
        <item x="400"/>
        <item x="79"/>
        <item x="172"/>
        <item x="294"/>
        <item x="620"/>
        <item x="600"/>
        <item x="21"/>
        <item x="336"/>
        <item x="546"/>
        <item x="616"/>
        <item x="510"/>
        <item x="604"/>
        <item x="543"/>
        <item x="147"/>
        <item x="293"/>
        <item x="94"/>
        <item x="320"/>
        <item x="385"/>
        <item x="150"/>
        <item x="149"/>
        <item x="291"/>
        <item x="112"/>
        <item x="454"/>
        <item x="185"/>
        <item x="186"/>
        <item x="205"/>
        <item x="195"/>
        <item x="189"/>
        <item x="177"/>
        <item x="182"/>
        <item t="default"/>
      </items>
    </pivotField>
    <pivotField showAll="0">
      <items count="93">
        <item x="19"/>
        <item x="63"/>
        <item x="50"/>
        <item x="24"/>
        <item x="6"/>
        <item x="11"/>
        <item x="18"/>
        <item x="68"/>
        <item x="15"/>
        <item x="2"/>
        <item x="59"/>
        <item x="21"/>
        <item x="67"/>
        <item x="32"/>
        <item x="60"/>
        <item x="12"/>
        <item x="66"/>
        <item x="0"/>
        <item x="53"/>
        <item x="64"/>
        <item x="86"/>
        <item x="56"/>
        <item x="43"/>
        <item x="49"/>
        <item x="48"/>
        <item x="14"/>
        <item x="44"/>
        <item x="1"/>
        <item x="54"/>
        <item x="91"/>
        <item x="37"/>
        <item x="90"/>
        <item x="89"/>
        <item x="46"/>
        <item x="61"/>
        <item x="13"/>
        <item x="58"/>
        <item x="57"/>
        <item x="34"/>
        <item x="27"/>
        <item x="88"/>
        <item x="87"/>
        <item x="25"/>
        <item x="70"/>
        <item x="3"/>
        <item x="81"/>
        <item x="82"/>
        <item x="85"/>
        <item x="75"/>
        <item x="38"/>
        <item x="7"/>
        <item x="79"/>
        <item x="52"/>
        <item x="20"/>
        <item x="72"/>
        <item x="5"/>
        <item x="65"/>
        <item x="40"/>
        <item x="41"/>
        <item x="36"/>
        <item x="8"/>
        <item x="84"/>
        <item x="16"/>
        <item x="69"/>
        <item x="77"/>
        <item x="22"/>
        <item x="4"/>
        <item x="73"/>
        <item x="26"/>
        <item x="28"/>
        <item x="33"/>
        <item x="71"/>
        <item x="29"/>
        <item x="80"/>
        <item x="9"/>
        <item x="23"/>
        <item x="35"/>
        <item x="31"/>
        <item x="74"/>
        <item x="76"/>
        <item x="30"/>
        <item x="47"/>
        <item x="62"/>
        <item x="17"/>
        <item x="42"/>
        <item x="39"/>
        <item x="51"/>
        <item x="45"/>
        <item x="83"/>
        <item x="10"/>
        <item x="78"/>
        <item x="55"/>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Total_Study_Cost" fld="13" subtotal="average" baseField="0" baseItem="0"/>
  </dataFields>
  <formats count="2">
    <format dxfId="24">
      <pivotArea outline="0" collapsedLevelsAreSubtotals="1"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0CA1A7-A7F5-4D08-99E6-C649E67D16B5}" name="PivotTable9" cacheId="3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3">
  <location ref="AJ2:AK8" firstHeaderRow="1" firstDataRow="1" firstDataCol="1"/>
  <pivotFields count="14">
    <pivotField axis="axisRow" showAll="0" measureFilter="1" sortType="descending">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autoSortScope>
        <pivotArea dataOnly="0" outline="0" fieldPosition="0">
          <references count="1">
            <reference field="4294967294" count="1" selected="0">
              <x v="0"/>
            </reference>
          </references>
        </pivotArea>
      </autoSortScope>
    </pivotField>
    <pivotField showAll="0">
      <items count="557">
        <item x="254"/>
        <item x="81"/>
        <item x="43"/>
        <item x="163"/>
        <item x="190"/>
        <item x="357"/>
        <item x="464"/>
        <item x="68"/>
        <item x="367"/>
        <item x="387"/>
        <item x="531"/>
        <item x="372"/>
        <item x="515"/>
        <item x="555"/>
        <item x="361"/>
        <item x="465"/>
        <item x="490"/>
        <item x="6"/>
        <item x="536"/>
        <item x="324"/>
        <item x="19"/>
        <item x="488"/>
        <item x="339"/>
        <item x="332"/>
        <item x="431"/>
        <item x="77"/>
        <item x="208"/>
        <item x="381"/>
        <item x="123"/>
        <item x="243"/>
        <item x="20"/>
        <item x="16"/>
        <item x="21"/>
        <item x="279"/>
        <item x="230"/>
        <item x="90"/>
        <item x="392"/>
        <item x="42"/>
        <item x="548"/>
        <item x="124"/>
        <item x="53"/>
        <item x="399"/>
        <item x="33"/>
        <item x="195"/>
        <item x="12"/>
        <item x="460"/>
        <item x="105"/>
        <item x="502"/>
        <item x="396"/>
        <item x="246"/>
        <item x="48"/>
        <item x="52"/>
        <item x="156"/>
        <item x="418"/>
        <item x="302"/>
        <item x="101"/>
        <item x="454"/>
        <item x="257"/>
        <item x="384"/>
        <item x="298"/>
        <item x="234"/>
        <item x="149"/>
        <item x="414"/>
        <item x="30"/>
        <item x="95"/>
        <item x="277"/>
        <item x="407"/>
        <item x="84"/>
        <item x="262"/>
        <item x="228"/>
        <item x="22"/>
        <item x="203"/>
        <item x="18"/>
        <item x="405"/>
        <item x="385"/>
        <item x="323"/>
        <item x="131"/>
        <item x="520"/>
        <item x="486"/>
        <item x="335"/>
        <item x="15"/>
        <item x="468"/>
        <item x="130"/>
        <item x="118"/>
        <item x="393"/>
        <item x="0"/>
        <item x="358"/>
        <item x="36"/>
        <item x="480"/>
        <item x="129"/>
        <item x="104"/>
        <item x="415"/>
        <item x="430"/>
        <item x="533"/>
        <item x="319"/>
        <item x="170"/>
        <item x="364"/>
        <item x="177"/>
        <item x="356"/>
        <item x="89"/>
        <item x="458"/>
        <item x="350"/>
        <item x="489"/>
        <item x="506"/>
        <item x="273"/>
        <item x="390"/>
        <item x="275"/>
        <item x="186"/>
        <item x="233"/>
        <item x="182"/>
        <item x="411"/>
        <item x="481"/>
        <item x="11"/>
        <item x="432"/>
        <item x="236"/>
        <item x="187"/>
        <item x="215"/>
        <item x="417"/>
        <item x="475"/>
        <item x="445"/>
        <item x="546"/>
        <item x="171"/>
        <item x="46"/>
        <item x="547"/>
        <item x="83"/>
        <item x="74"/>
        <item x="474"/>
        <item x="97"/>
        <item x="217"/>
        <item x="326"/>
        <item x="34"/>
        <item x="359"/>
        <item x="419"/>
        <item x="239"/>
        <item x="541"/>
        <item x="498"/>
        <item x="408"/>
        <item x="532"/>
        <item x="320"/>
        <item x="78"/>
        <item x="125"/>
        <item x="14"/>
        <item x="456"/>
        <item x="199"/>
        <item x="276"/>
        <item x="92"/>
        <item x="188"/>
        <item x="40"/>
        <item x="136"/>
        <item x="137"/>
        <item x="263"/>
        <item x="391"/>
        <item x="331"/>
        <item x="245"/>
        <item x="194"/>
        <item x="197"/>
        <item x="441"/>
        <item x="282"/>
        <item x="437"/>
        <item x="303"/>
        <item x="373"/>
        <item x="232"/>
        <item x="87"/>
        <item x="159"/>
        <item x="382"/>
        <item x="62"/>
        <item x="286"/>
        <item x="447"/>
        <item x="184"/>
        <item x="45"/>
        <item x="406"/>
        <item x="155"/>
        <item x="325"/>
        <item x="455"/>
        <item x="366"/>
        <item x="260"/>
        <item x="41"/>
        <item x="70"/>
        <item x="274"/>
        <item x="307"/>
        <item x="290"/>
        <item x="219"/>
        <item x="147"/>
        <item x="138"/>
        <item x="296"/>
        <item x="167"/>
        <item x="467"/>
        <item x="172"/>
        <item x="337"/>
        <item x="398"/>
        <item x="108"/>
        <item x="80"/>
        <item x="106"/>
        <item x="165"/>
        <item x="86"/>
        <item x="341"/>
        <item x="370"/>
        <item x="507"/>
        <item x="32"/>
        <item x="56"/>
        <item x="299"/>
        <item x="201"/>
        <item x="269"/>
        <item x="67"/>
        <item x="495"/>
        <item x="135"/>
        <item x="71"/>
        <item x="24"/>
        <item x="267"/>
        <item x="209"/>
        <item x="369"/>
        <item x="401"/>
        <item x="175"/>
        <item x="305"/>
        <item x="309"/>
        <item x="477"/>
        <item x="511"/>
        <item x="120"/>
        <item x="127"/>
        <item x="328"/>
        <item x="132"/>
        <item x="539"/>
        <item x="85"/>
        <item x="268"/>
        <item x="540"/>
        <item x="483"/>
        <item x="258"/>
        <item x="66"/>
        <item x="379"/>
        <item x="82"/>
        <item x="283"/>
        <item x="416"/>
        <item x="344"/>
        <item x="334"/>
        <item x="352"/>
        <item x="210"/>
        <item x="198"/>
        <item x="516"/>
        <item x="360"/>
        <item x="514"/>
        <item x="220"/>
        <item x="402"/>
        <item x="310"/>
        <item x="65"/>
        <item x="259"/>
        <item x="349"/>
        <item x="404"/>
        <item x="517"/>
        <item x="526"/>
        <item x="389"/>
        <item x="264"/>
        <item x="47"/>
        <item x="542"/>
        <item x="472"/>
        <item x="265"/>
        <item x="499"/>
        <item x="500"/>
        <item x="59"/>
        <item x="497"/>
        <item x="446"/>
        <item x="436"/>
        <item x="134"/>
        <item x="206"/>
        <item x="261"/>
        <item x="434"/>
        <item x="154"/>
        <item x="98"/>
        <item x="191"/>
        <item x="143"/>
        <item x="315"/>
        <item x="322"/>
        <item x="346"/>
        <item x="150"/>
        <item x="425"/>
        <item x="427"/>
        <item x="237"/>
        <item x="278"/>
        <item x="295"/>
        <item x="25"/>
        <item x="231"/>
        <item x="189"/>
        <item x="501"/>
        <item x="410"/>
        <item x="482"/>
        <item x="1"/>
        <item x="107"/>
        <item x="180"/>
        <item x="202"/>
        <item x="336"/>
        <item x="161"/>
        <item x="158"/>
        <item x="37"/>
        <item x="386"/>
        <item x="508"/>
        <item x="256"/>
        <item x="146"/>
        <item x="139"/>
        <item x="93"/>
        <item x="287"/>
        <item x="553"/>
        <item x="409"/>
        <item x="478"/>
        <item x="461"/>
        <item x="49"/>
        <item x="376"/>
        <item x="509"/>
        <item x="444"/>
        <item x="545"/>
        <item x="519"/>
        <item x="238"/>
        <item x="388"/>
        <item x="543"/>
        <item x="550"/>
        <item x="3"/>
        <item x="453"/>
        <item x="311"/>
        <item x="122"/>
        <item x="54"/>
        <item x="96"/>
        <item x="342"/>
        <item x="544"/>
        <item x="440"/>
        <item x="223"/>
        <item x="351"/>
        <item x="291"/>
        <item x="462"/>
        <item x="153"/>
        <item x="221"/>
        <item x="121"/>
        <item x="492"/>
        <item x="355"/>
        <item x="4"/>
        <item x="60"/>
        <item x="375"/>
        <item x="528"/>
        <item x="166"/>
        <item x="308"/>
        <item x="91"/>
        <item x="160"/>
        <item x="178"/>
        <item x="126"/>
        <item x="72"/>
        <item x="148"/>
        <item x="421"/>
        <item x="140"/>
        <item x="554"/>
        <item x="518"/>
        <item x="214"/>
        <item x="103"/>
        <item x="525"/>
        <item x="510"/>
        <item x="330"/>
        <item x="248"/>
        <item x="524"/>
        <item x="473"/>
        <item x="58"/>
        <item x="442"/>
        <item x="57"/>
        <item x="23"/>
        <item x="457"/>
        <item x="252"/>
        <item x="31"/>
        <item x="216"/>
        <item x="318"/>
        <item x="280"/>
        <item x="466"/>
        <item x="449"/>
        <item x="8"/>
        <item x="294"/>
        <item x="493"/>
        <item x="333"/>
        <item x="538"/>
        <item x="69"/>
        <item x="88"/>
        <item x="365"/>
        <item x="340"/>
        <item x="313"/>
        <item x="116"/>
        <item x="452"/>
        <item x="471"/>
        <item x="211"/>
        <item x="174"/>
        <item x="371"/>
        <item x="241"/>
        <item x="272"/>
        <item x="363"/>
        <item x="212"/>
        <item x="400"/>
        <item x="28"/>
        <item x="227"/>
        <item x="179"/>
        <item x="301"/>
        <item x="450"/>
        <item x="374"/>
        <item x="110"/>
        <item x="204"/>
        <item x="306"/>
        <item x="459"/>
        <item x="424"/>
        <item x="522"/>
        <item x="185"/>
        <item x="377"/>
        <item x="192"/>
        <item x="368"/>
        <item x="112"/>
        <item x="151"/>
        <item x="383"/>
        <item x="314"/>
        <item x="469"/>
        <item x="435"/>
        <item x="354"/>
        <item x="485"/>
        <item x="133"/>
        <item x="288"/>
        <item x="439"/>
        <item x="253"/>
        <item x="353"/>
        <item x="55"/>
        <item x="205"/>
        <item x="494"/>
        <item x="327"/>
        <item x="484"/>
        <item x="317"/>
        <item x="523"/>
        <item x="470"/>
        <item x="378"/>
        <item x="300"/>
        <item x="348"/>
        <item x="512"/>
        <item x="38"/>
        <item x="235"/>
        <item x="321"/>
        <item x="521"/>
        <item x="443"/>
        <item x="505"/>
        <item x="513"/>
        <item x="537"/>
        <item x="429"/>
        <item x="423"/>
        <item x="119"/>
        <item x="63"/>
        <item x="114"/>
        <item x="39"/>
        <item x="413"/>
        <item x="61"/>
        <item x="13"/>
        <item x="297"/>
        <item x="426"/>
        <item x="552"/>
        <item x="164"/>
        <item x="362"/>
        <item x="100"/>
        <item x="128"/>
        <item x="115"/>
        <item x="527"/>
        <item x="491"/>
        <item x="7"/>
        <item x="266"/>
        <item x="242"/>
        <item x="463"/>
        <item x="380"/>
        <item x="529"/>
        <item x="433"/>
        <item x="102"/>
        <item x="428"/>
        <item x="157"/>
        <item x="113"/>
        <item x="29"/>
        <item x="251"/>
        <item x="10"/>
        <item x="152"/>
        <item x="200"/>
        <item x="79"/>
        <item x="534"/>
        <item x="226"/>
        <item x="76"/>
        <item x="403"/>
        <item x="196"/>
        <item x="193"/>
        <item x="176"/>
        <item x="207"/>
        <item x="51"/>
        <item x="530"/>
        <item x="329"/>
        <item x="535"/>
        <item x="551"/>
        <item x="549"/>
        <item x="27"/>
        <item x="487"/>
        <item x="247"/>
        <item x="451"/>
        <item x="504"/>
        <item x="503"/>
        <item x="26"/>
        <item x="94"/>
        <item x="289"/>
        <item x="225"/>
        <item x="316"/>
        <item x="141"/>
        <item x="395"/>
        <item x="496"/>
        <item x="5"/>
        <item x="338"/>
        <item x="229"/>
        <item x="2"/>
        <item x="145"/>
        <item x="75"/>
        <item x="476"/>
        <item x="224"/>
        <item x="249"/>
        <item x="244"/>
        <item x="438"/>
        <item x="64"/>
        <item x="420"/>
        <item x="293"/>
        <item x="250"/>
        <item x="173"/>
        <item x="213"/>
        <item x="281"/>
        <item x="271"/>
        <item x="181"/>
        <item x="117"/>
        <item x="142"/>
        <item x="285"/>
        <item x="255"/>
        <item x="292"/>
        <item x="50"/>
        <item x="479"/>
        <item x="347"/>
        <item x="109"/>
        <item x="17"/>
        <item x="284"/>
        <item x="304"/>
        <item x="144"/>
        <item x="412"/>
        <item x="44"/>
        <item x="99"/>
        <item x="240"/>
        <item x="35"/>
        <item x="270"/>
        <item x="183"/>
        <item x="218"/>
        <item x="222"/>
        <item x="111"/>
        <item x="162"/>
        <item x="73"/>
        <item x="394"/>
        <item x="168"/>
        <item x="345"/>
        <item x="169"/>
        <item x="343"/>
        <item x="397"/>
        <item x="448"/>
        <item x="422"/>
        <item x="312"/>
        <item x="9"/>
        <item t="default"/>
      </items>
    </pivotField>
    <pivotField showAll="0">
      <items count="623">
        <item x="603"/>
        <item x="160"/>
        <item x="158"/>
        <item x="45"/>
        <item x="299"/>
        <item x="178"/>
        <item x="511"/>
        <item x="591"/>
        <item x="460"/>
        <item x="474"/>
        <item x="424"/>
        <item x="610"/>
        <item x="426"/>
        <item x="396"/>
        <item x="419"/>
        <item x="461"/>
        <item x="494"/>
        <item x="135"/>
        <item x="130"/>
        <item x="568"/>
        <item x="520"/>
        <item x="420"/>
        <item x="388"/>
        <item x="596"/>
        <item x="279"/>
        <item x="553"/>
        <item x="545"/>
        <item x="344"/>
        <item x="97"/>
        <item x="239"/>
        <item x="440"/>
        <item x="377"/>
        <item x="296"/>
        <item x="583"/>
        <item x="38"/>
        <item x="334"/>
        <item x="449"/>
        <item x="549"/>
        <item x="537"/>
        <item x="559"/>
        <item x="464"/>
        <item x="125"/>
        <item x="469"/>
        <item x="234"/>
        <item x="378"/>
        <item x="580"/>
        <item x="547"/>
        <item x="504"/>
        <item x="410"/>
        <item x="108"/>
        <item x="121"/>
        <item x="371"/>
        <item x="324"/>
        <item x="478"/>
        <item x="77"/>
        <item x="28"/>
        <item x="414"/>
        <item x="196"/>
        <item x="197"/>
        <item x="129"/>
        <item x="204"/>
        <item x="192"/>
        <item x="131"/>
        <item x="132"/>
        <item x="246"/>
        <item x="567"/>
        <item x="487"/>
        <item x="113"/>
        <item x="248"/>
        <item x="402"/>
        <item x="473"/>
        <item x="592"/>
        <item x="193"/>
        <item x="95"/>
        <item x="219"/>
        <item x="501"/>
        <item x="384"/>
        <item x="168"/>
        <item x="57"/>
        <item x="401"/>
        <item x="527"/>
        <item x="34"/>
        <item x="9"/>
        <item x="472"/>
        <item x="593"/>
        <item x="270"/>
        <item x="579"/>
        <item x="375"/>
        <item x="54"/>
        <item x="180"/>
        <item x="441"/>
        <item x="457"/>
        <item x="466"/>
        <item x="20"/>
        <item x="381"/>
        <item x="515"/>
        <item x="275"/>
        <item x="161"/>
        <item x="73"/>
        <item x="575"/>
        <item x="203"/>
        <item x="190"/>
        <item x="0"/>
        <item x="490"/>
        <item x="398"/>
        <item x="140"/>
        <item x="33"/>
        <item x="232"/>
        <item x="70"/>
        <item x="24"/>
        <item x="65"/>
        <item x="544"/>
        <item x="273"/>
        <item x="458"/>
        <item x="561"/>
        <item x="413"/>
        <item x="417"/>
        <item x="428"/>
        <item x="438"/>
        <item x="422"/>
        <item x="432"/>
        <item x="612"/>
        <item x="598"/>
        <item x="1"/>
        <item x="201"/>
        <item x="44"/>
        <item x="565"/>
        <item x="165"/>
        <item x="159"/>
        <item x="451"/>
        <item x="463"/>
        <item x="483"/>
        <item x="534"/>
        <item x="572"/>
        <item x="608"/>
        <item x="295"/>
        <item x="597"/>
        <item x="383"/>
        <item x="448"/>
        <item x="78"/>
        <item x="350"/>
        <item x="408"/>
        <item x="93"/>
        <item x="48"/>
        <item x="69"/>
        <item x="335"/>
        <item x="391"/>
        <item x="241"/>
        <item x="605"/>
        <item x="415"/>
        <item x="576"/>
        <item x="418"/>
        <item x="574"/>
        <item x="601"/>
        <item x="621"/>
        <item x="138"/>
        <item x="217"/>
        <item x="251"/>
        <item x="85"/>
        <item x="68"/>
        <item x="188"/>
        <item x="10"/>
        <item x="18"/>
        <item x="560"/>
        <item x="532"/>
        <item x="61"/>
        <item x="194"/>
        <item x="64"/>
        <item x="259"/>
        <item x="237"/>
        <item x="260"/>
        <item x="115"/>
        <item x="528"/>
        <item x="552"/>
        <item x="536"/>
        <item x="289"/>
        <item x="89"/>
        <item x="148"/>
        <item x="337"/>
        <item x="329"/>
        <item x="338"/>
        <item x="300"/>
        <item x="470"/>
        <item x="233"/>
        <item x="39"/>
        <item x="315"/>
        <item x="456"/>
        <item x="450"/>
        <item x="569"/>
        <item x="144"/>
        <item x="434"/>
        <item x="609"/>
        <item x="331"/>
        <item x="287"/>
        <item x="252"/>
        <item x="111"/>
        <item x="118"/>
        <item x="468"/>
        <item x="379"/>
        <item x="30"/>
        <item x="517"/>
        <item x="484"/>
        <item x="264"/>
        <item x="370"/>
        <item x="126"/>
        <item x="611"/>
        <item x="62"/>
        <item x="588"/>
        <item x="183"/>
        <item x="151"/>
        <item x="27"/>
        <item x="128"/>
        <item x="492"/>
        <item x="513"/>
        <item x="506"/>
        <item x="499"/>
        <item x="7"/>
        <item x="214"/>
        <item x="509"/>
        <item x="110"/>
        <item x="312"/>
        <item x="282"/>
        <item x="245"/>
        <item x="309"/>
        <item x="387"/>
        <item x="298"/>
        <item x="314"/>
        <item x="156"/>
        <item x="36"/>
        <item x="47"/>
        <item x="155"/>
        <item x="584"/>
        <item x="211"/>
        <item x="216"/>
        <item x="60"/>
        <item x="471"/>
        <item x="247"/>
        <item x="179"/>
        <item x="531"/>
        <item x="56"/>
        <item x="348"/>
        <item x="455"/>
        <item x="429"/>
        <item x="292"/>
        <item x="200"/>
        <item x="423"/>
        <item x="206"/>
        <item x="489"/>
        <item x="485"/>
        <item x="412"/>
        <item x="212"/>
        <item x="15"/>
        <item x="550"/>
        <item x="235"/>
        <item x="254"/>
        <item x="109"/>
        <item x="265"/>
        <item x="145"/>
        <item x="436"/>
        <item x="452"/>
        <item x="267"/>
        <item x="308"/>
        <item x="236"/>
        <item x="529"/>
        <item x="582"/>
        <item x="84"/>
        <item x="462"/>
        <item x="405"/>
        <item x="573"/>
        <item x="343"/>
        <item x="406"/>
        <item x="13"/>
        <item x="181"/>
        <item x="564"/>
        <item x="587"/>
        <item x="187"/>
        <item x="435"/>
        <item x="152"/>
        <item x="425"/>
        <item x="154"/>
        <item x="157"/>
        <item x="523"/>
        <item x="8"/>
        <item x="271"/>
        <item x="409"/>
        <item x="29"/>
        <item x="184"/>
        <item x="191"/>
        <item x="202"/>
        <item x="433"/>
        <item x="590"/>
        <item x="133"/>
        <item x="153"/>
        <item x="238"/>
        <item x="394"/>
        <item x="615"/>
        <item x="302"/>
        <item x="297"/>
        <item x="374"/>
        <item x="311"/>
        <item x="4"/>
        <item x="539"/>
        <item x="346"/>
        <item x="361"/>
        <item x="26"/>
        <item x="215"/>
        <item x="439"/>
        <item x="146"/>
        <item x="63"/>
        <item x="66"/>
        <item x="395"/>
        <item x="467"/>
        <item x="14"/>
        <item x="12"/>
        <item x="87"/>
        <item x="86"/>
        <item x="35"/>
        <item x="81"/>
        <item x="141"/>
        <item x="345"/>
        <item x="83"/>
        <item x="272"/>
        <item x="341"/>
        <item x="430"/>
        <item x="376"/>
        <item x="50"/>
        <item x="278"/>
        <item x="100"/>
        <item x="40"/>
        <item x="207"/>
        <item x="393"/>
        <item x="503"/>
        <item x="479"/>
        <item x="356"/>
        <item x="437"/>
        <item x="427"/>
        <item x="421"/>
        <item x="431"/>
        <item x="465"/>
        <item x="304"/>
        <item x="618"/>
        <item x="122"/>
        <item x="614"/>
        <item x="198"/>
        <item x="244"/>
        <item x="392"/>
        <item x="332"/>
        <item x="619"/>
        <item x="127"/>
        <item x="261"/>
        <item x="416"/>
        <item x="607"/>
        <item x="366"/>
        <item x="538"/>
        <item x="496"/>
        <item x="447"/>
        <item x="475"/>
        <item x="535"/>
        <item x="613"/>
        <item x="351"/>
        <item x="522"/>
        <item x="581"/>
        <item x="554"/>
        <item x="512"/>
        <item x="352"/>
        <item x="589"/>
        <item x="606"/>
        <item x="459"/>
        <item x="453"/>
        <item x="566"/>
        <item x="542"/>
        <item x="558"/>
        <item x="443"/>
        <item x="498"/>
        <item x="530"/>
        <item x="340"/>
        <item x="599"/>
        <item x="491"/>
        <item x="505"/>
        <item x="519"/>
        <item x="518"/>
        <item x="551"/>
        <item x="526"/>
        <item x="164"/>
        <item x="120"/>
        <item x="162"/>
        <item x="602"/>
        <item x="347"/>
        <item x="342"/>
        <item x="281"/>
        <item x="101"/>
        <item x="548"/>
        <item x="221"/>
        <item x="71"/>
        <item x="317"/>
        <item x="446"/>
        <item x="497"/>
        <item x="42"/>
        <item x="333"/>
        <item x="6"/>
        <item x="389"/>
        <item x="16"/>
        <item x="330"/>
        <item x="521"/>
        <item x="55"/>
        <item x="175"/>
        <item x="226"/>
        <item x="563"/>
        <item x="301"/>
        <item x="170"/>
        <item x="105"/>
        <item x="353"/>
        <item x="277"/>
        <item x="163"/>
        <item x="316"/>
        <item x="22"/>
        <item x="52"/>
        <item x="136"/>
        <item x="123"/>
        <item x="32"/>
        <item x="268"/>
        <item x="323"/>
        <item x="540"/>
        <item x="134"/>
        <item x="514"/>
        <item x="92"/>
        <item x="325"/>
        <item x="276"/>
        <item x="98"/>
        <item x="541"/>
        <item x="11"/>
        <item x="477"/>
        <item x="354"/>
        <item x="481"/>
        <item x="382"/>
        <item x="288"/>
        <item x="411"/>
        <item x="516"/>
        <item x="230"/>
        <item x="318"/>
        <item x="218"/>
        <item x="225"/>
        <item x="228"/>
        <item x="358"/>
        <item x="213"/>
        <item x="90"/>
        <item x="173"/>
        <item x="507"/>
        <item x="169"/>
        <item x="524"/>
        <item x="43"/>
        <item x="362"/>
        <item x="250"/>
        <item x="143"/>
        <item x="274"/>
        <item x="556"/>
        <item x="58"/>
        <item x="240"/>
        <item x="442"/>
        <item x="210"/>
        <item x="137"/>
        <item x="360"/>
        <item x="364"/>
        <item x="88"/>
        <item x="313"/>
        <item x="229"/>
        <item x="365"/>
        <item x="586"/>
        <item x="139"/>
        <item x="102"/>
        <item x="222"/>
        <item x="403"/>
        <item x="290"/>
        <item x="284"/>
        <item x="25"/>
        <item x="220"/>
        <item x="562"/>
        <item x="176"/>
        <item x="445"/>
        <item x="280"/>
        <item x="380"/>
        <item x="339"/>
        <item x="49"/>
        <item x="51"/>
        <item x="116"/>
        <item x="570"/>
        <item x="3"/>
        <item x="19"/>
        <item x="327"/>
        <item x="99"/>
        <item x="399"/>
        <item x="500"/>
        <item x="407"/>
        <item x="167"/>
        <item x="253"/>
        <item x="363"/>
        <item x="174"/>
        <item x="257"/>
        <item x="80"/>
        <item x="263"/>
        <item x="75"/>
        <item x="286"/>
        <item x="578"/>
        <item x="107"/>
        <item x="585"/>
        <item x="571"/>
        <item x="533"/>
        <item x="502"/>
        <item x="59"/>
        <item x="326"/>
        <item x="23"/>
        <item x="307"/>
        <item x="31"/>
        <item x="373"/>
        <item x="404"/>
        <item x="349"/>
        <item x="390"/>
        <item x="91"/>
        <item x="397"/>
        <item x="368"/>
        <item x="242"/>
        <item x="322"/>
        <item x="243"/>
        <item x="577"/>
        <item x="262"/>
        <item x="223"/>
        <item x="117"/>
        <item x="495"/>
        <item x="555"/>
        <item x="372"/>
        <item x="285"/>
        <item x="355"/>
        <item x="124"/>
        <item x="119"/>
        <item x="525"/>
        <item x="486"/>
        <item x="104"/>
        <item x="255"/>
        <item x="476"/>
        <item x="493"/>
        <item x="106"/>
        <item x="319"/>
        <item x="303"/>
        <item x="269"/>
        <item x="488"/>
        <item x="171"/>
        <item x="306"/>
        <item x="166"/>
        <item x="231"/>
        <item x="82"/>
        <item x="594"/>
        <item x="227"/>
        <item x="224"/>
        <item x="53"/>
        <item x="386"/>
        <item x="595"/>
        <item x="617"/>
        <item x="74"/>
        <item x="266"/>
        <item x="208"/>
        <item x="369"/>
        <item x="357"/>
        <item x="359"/>
        <item x="557"/>
        <item x="5"/>
        <item x="2"/>
        <item x="283"/>
        <item x="67"/>
        <item x="480"/>
        <item x="305"/>
        <item x="142"/>
        <item x="199"/>
        <item x="310"/>
        <item x="114"/>
        <item x="17"/>
        <item x="328"/>
        <item x="46"/>
        <item x="103"/>
        <item x="41"/>
        <item x="37"/>
        <item x="72"/>
        <item x="249"/>
        <item x="256"/>
        <item x="96"/>
        <item x="209"/>
        <item x="76"/>
        <item x="508"/>
        <item x="482"/>
        <item x="367"/>
        <item x="444"/>
        <item x="321"/>
        <item x="258"/>
        <item x="400"/>
        <item x="79"/>
        <item x="172"/>
        <item x="294"/>
        <item x="620"/>
        <item x="600"/>
        <item x="21"/>
        <item x="336"/>
        <item x="546"/>
        <item x="616"/>
        <item x="510"/>
        <item x="604"/>
        <item x="543"/>
        <item x="147"/>
        <item x="293"/>
        <item x="94"/>
        <item x="320"/>
        <item x="385"/>
        <item x="150"/>
        <item x="149"/>
        <item x="291"/>
        <item x="112"/>
        <item x="454"/>
        <item x="185"/>
        <item x="186"/>
        <item x="205"/>
        <item x="195"/>
        <item x="189"/>
        <item x="177"/>
        <item x="182"/>
        <item t="default"/>
      </items>
    </pivotField>
    <pivotField showAll="0">
      <items count="93">
        <item x="19"/>
        <item x="63"/>
        <item x="50"/>
        <item x="24"/>
        <item x="6"/>
        <item x="11"/>
        <item x="18"/>
        <item x="68"/>
        <item x="15"/>
        <item x="2"/>
        <item x="59"/>
        <item x="21"/>
        <item x="67"/>
        <item x="32"/>
        <item x="60"/>
        <item x="12"/>
        <item x="66"/>
        <item x="0"/>
        <item x="53"/>
        <item x="64"/>
        <item x="86"/>
        <item x="56"/>
        <item x="43"/>
        <item x="49"/>
        <item x="48"/>
        <item x="14"/>
        <item x="44"/>
        <item x="1"/>
        <item x="54"/>
        <item x="91"/>
        <item x="37"/>
        <item x="90"/>
        <item x="89"/>
        <item x="46"/>
        <item x="61"/>
        <item x="13"/>
        <item x="58"/>
        <item x="57"/>
        <item x="34"/>
        <item x="27"/>
        <item x="88"/>
        <item x="87"/>
        <item x="25"/>
        <item x="70"/>
        <item x="3"/>
        <item x="81"/>
        <item x="82"/>
        <item x="85"/>
        <item x="75"/>
        <item x="38"/>
        <item x="7"/>
        <item x="79"/>
        <item x="52"/>
        <item x="20"/>
        <item x="72"/>
        <item x="5"/>
        <item x="65"/>
        <item x="40"/>
        <item x="41"/>
        <item x="36"/>
        <item x="8"/>
        <item x="84"/>
        <item x="16"/>
        <item x="69"/>
        <item x="77"/>
        <item x="22"/>
        <item x="4"/>
        <item x="73"/>
        <item x="26"/>
        <item x="28"/>
        <item x="33"/>
        <item x="71"/>
        <item x="29"/>
        <item x="80"/>
        <item x="9"/>
        <item x="23"/>
        <item x="35"/>
        <item x="31"/>
        <item x="74"/>
        <item x="76"/>
        <item x="30"/>
        <item x="47"/>
        <item x="62"/>
        <item x="17"/>
        <item x="42"/>
        <item x="39"/>
        <item x="51"/>
        <item x="45"/>
        <item x="83"/>
        <item x="10"/>
        <item x="78"/>
        <item x="55"/>
        <item t="default"/>
      </items>
    </pivotField>
    <pivotField showAll="0">
      <items count="4">
        <item x="1"/>
        <item x="0"/>
        <item x="2"/>
        <item t="default"/>
      </items>
    </pivotField>
    <pivotField showAll="0"/>
    <pivotField showAll="0"/>
    <pivotField showAll="0"/>
    <pivotField dataField="1" showAll="0"/>
    <pivotField showAll="0"/>
    <pivotField showAll="0"/>
    <pivotField showAll="0"/>
    <pivotField showAll="0"/>
    <pivotField showAll="0"/>
  </pivotFields>
  <rowFields count="1">
    <field x="0"/>
  </rowFields>
  <rowItems count="6">
    <i>
      <x v="68"/>
    </i>
    <i>
      <x v="2"/>
    </i>
    <i>
      <x v="65"/>
    </i>
    <i>
      <x v="9"/>
    </i>
    <i>
      <x v="59"/>
    </i>
    <i t="grand">
      <x/>
    </i>
  </rowItems>
  <colItems count="1">
    <i/>
  </colItems>
  <dataFields count="1">
    <dataField name="Sum of Rent_USD" fld="8" baseField="0" baseItem="0" numFmtId="167"/>
  </dataFields>
  <formats count="2">
    <format dxfId="26">
      <pivotArea field="0" type="button" dataOnly="0" labelOnly="1" outline="0" axis="axisRow" fieldPosition="0"/>
    </format>
    <format dxfId="25">
      <pivotArea outline="0" fieldPosition="0">
        <references count="1">
          <reference field="4294967294" count="1">
            <x v="0"/>
          </reference>
        </references>
      </pivotArea>
    </format>
  </formats>
  <chartFormats count="4">
    <chartFormat chart="23" format="1"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8C17943-2C19-4E04-A74E-4D76928AB3C4}" name="PivotTable8" cacheId="3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location ref="AB1:AC12" firstHeaderRow="1" firstDataRow="1" firstDataCol="1"/>
  <pivotFields count="14">
    <pivotField axis="axisRow" showAll="0">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pivotField>
    <pivotField showAll="0">
      <items count="557">
        <item x="254"/>
        <item x="81"/>
        <item x="43"/>
        <item x="163"/>
        <item x="190"/>
        <item x="357"/>
        <item x="464"/>
        <item x="68"/>
        <item x="367"/>
        <item x="387"/>
        <item x="531"/>
        <item x="372"/>
        <item x="515"/>
        <item x="555"/>
        <item x="361"/>
        <item x="465"/>
        <item x="490"/>
        <item x="6"/>
        <item x="536"/>
        <item x="324"/>
        <item x="19"/>
        <item x="488"/>
        <item x="339"/>
        <item x="332"/>
        <item x="431"/>
        <item x="77"/>
        <item x="208"/>
        <item x="381"/>
        <item x="123"/>
        <item x="243"/>
        <item x="20"/>
        <item x="16"/>
        <item x="21"/>
        <item x="279"/>
        <item x="230"/>
        <item x="90"/>
        <item x="392"/>
        <item x="42"/>
        <item x="548"/>
        <item x="124"/>
        <item x="53"/>
        <item x="399"/>
        <item x="33"/>
        <item x="195"/>
        <item x="12"/>
        <item x="460"/>
        <item x="105"/>
        <item x="502"/>
        <item x="396"/>
        <item x="246"/>
        <item x="48"/>
        <item x="52"/>
        <item x="156"/>
        <item x="418"/>
        <item x="302"/>
        <item x="101"/>
        <item x="454"/>
        <item x="257"/>
        <item x="384"/>
        <item x="298"/>
        <item x="234"/>
        <item x="149"/>
        <item x="414"/>
        <item x="30"/>
        <item x="95"/>
        <item x="277"/>
        <item x="407"/>
        <item x="84"/>
        <item x="262"/>
        <item x="228"/>
        <item x="22"/>
        <item x="203"/>
        <item x="18"/>
        <item x="405"/>
        <item x="385"/>
        <item x="323"/>
        <item x="131"/>
        <item x="520"/>
        <item x="486"/>
        <item x="335"/>
        <item x="15"/>
        <item x="468"/>
        <item x="130"/>
        <item x="118"/>
        <item x="393"/>
        <item x="0"/>
        <item x="358"/>
        <item x="36"/>
        <item x="480"/>
        <item x="129"/>
        <item x="104"/>
        <item x="415"/>
        <item x="430"/>
        <item x="533"/>
        <item x="319"/>
        <item x="170"/>
        <item x="364"/>
        <item x="177"/>
        <item x="356"/>
        <item x="89"/>
        <item x="458"/>
        <item x="350"/>
        <item x="489"/>
        <item x="506"/>
        <item x="273"/>
        <item x="390"/>
        <item x="275"/>
        <item x="186"/>
        <item x="233"/>
        <item x="182"/>
        <item x="411"/>
        <item x="481"/>
        <item x="11"/>
        <item x="432"/>
        <item x="236"/>
        <item x="187"/>
        <item x="215"/>
        <item x="417"/>
        <item x="475"/>
        <item x="445"/>
        <item x="546"/>
        <item x="171"/>
        <item x="46"/>
        <item x="547"/>
        <item x="83"/>
        <item x="74"/>
        <item x="474"/>
        <item x="97"/>
        <item x="217"/>
        <item x="326"/>
        <item x="34"/>
        <item x="359"/>
        <item x="419"/>
        <item x="239"/>
        <item x="541"/>
        <item x="498"/>
        <item x="408"/>
        <item x="532"/>
        <item x="320"/>
        <item x="78"/>
        <item x="125"/>
        <item x="14"/>
        <item x="456"/>
        <item x="199"/>
        <item x="276"/>
        <item x="92"/>
        <item x="188"/>
        <item x="40"/>
        <item x="136"/>
        <item x="137"/>
        <item x="263"/>
        <item x="391"/>
        <item x="331"/>
        <item x="245"/>
        <item x="194"/>
        <item x="197"/>
        <item x="441"/>
        <item x="282"/>
        <item x="437"/>
        <item x="303"/>
        <item x="373"/>
        <item x="232"/>
        <item x="87"/>
        <item x="159"/>
        <item x="382"/>
        <item x="62"/>
        <item x="286"/>
        <item x="447"/>
        <item x="184"/>
        <item x="45"/>
        <item x="406"/>
        <item x="155"/>
        <item x="325"/>
        <item x="455"/>
        <item x="366"/>
        <item x="260"/>
        <item x="41"/>
        <item x="70"/>
        <item x="274"/>
        <item x="307"/>
        <item x="290"/>
        <item x="219"/>
        <item x="147"/>
        <item x="138"/>
        <item x="296"/>
        <item x="167"/>
        <item x="467"/>
        <item x="172"/>
        <item x="337"/>
        <item x="398"/>
        <item x="108"/>
        <item x="80"/>
        <item x="106"/>
        <item x="165"/>
        <item x="86"/>
        <item x="341"/>
        <item x="370"/>
        <item x="507"/>
        <item x="32"/>
        <item x="56"/>
        <item x="299"/>
        <item x="201"/>
        <item x="269"/>
        <item x="67"/>
        <item x="495"/>
        <item x="135"/>
        <item x="71"/>
        <item x="24"/>
        <item x="267"/>
        <item x="209"/>
        <item x="369"/>
        <item x="401"/>
        <item x="175"/>
        <item x="305"/>
        <item x="309"/>
        <item x="477"/>
        <item x="511"/>
        <item x="120"/>
        <item x="127"/>
        <item x="328"/>
        <item x="132"/>
        <item x="539"/>
        <item x="85"/>
        <item x="268"/>
        <item x="540"/>
        <item x="483"/>
        <item x="258"/>
        <item x="66"/>
        <item x="379"/>
        <item x="82"/>
        <item x="283"/>
        <item x="416"/>
        <item x="344"/>
        <item x="334"/>
        <item x="352"/>
        <item x="210"/>
        <item x="198"/>
        <item x="516"/>
        <item x="360"/>
        <item x="514"/>
        <item x="220"/>
        <item x="402"/>
        <item x="310"/>
        <item x="65"/>
        <item x="259"/>
        <item x="349"/>
        <item x="404"/>
        <item x="517"/>
        <item x="526"/>
        <item x="389"/>
        <item x="264"/>
        <item x="47"/>
        <item x="542"/>
        <item x="472"/>
        <item x="265"/>
        <item x="499"/>
        <item x="500"/>
        <item x="59"/>
        <item x="497"/>
        <item x="446"/>
        <item x="436"/>
        <item x="134"/>
        <item x="206"/>
        <item x="261"/>
        <item x="434"/>
        <item x="154"/>
        <item x="98"/>
        <item x="191"/>
        <item x="143"/>
        <item x="315"/>
        <item x="322"/>
        <item x="346"/>
        <item x="150"/>
        <item x="425"/>
        <item x="427"/>
        <item x="237"/>
        <item x="278"/>
        <item x="295"/>
        <item x="25"/>
        <item x="231"/>
        <item x="189"/>
        <item x="501"/>
        <item x="410"/>
        <item x="482"/>
        <item x="1"/>
        <item x="107"/>
        <item x="180"/>
        <item x="202"/>
        <item x="336"/>
        <item x="161"/>
        <item x="158"/>
        <item x="37"/>
        <item x="386"/>
        <item x="508"/>
        <item x="256"/>
        <item x="146"/>
        <item x="139"/>
        <item x="93"/>
        <item x="287"/>
        <item x="553"/>
        <item x="409"/>
        <item x="478"/>
        <item x="461"/>
        <item x="49"/>
        <item x="376"/>
        <item x="509"/>
        <item x="444"/>
        <item x="545"/>
        <item x="519"/>
        <item x="238"/>
        <item x="388"/>
        <item x="543"/>
        <item x="550"/>
        <item x="3"/>
        <item x="453"/>
        <item x="311"/>
        <item x="122"/>
        <item x="54"/>
        <item x="96"/>
        <item x="342"/>
        <item x="544"/>
        <item x="440"/>
        <item x="223"/>
        <item x="351"/>
        <item x="291"/>
        <item x="462"/>
        <item x="153"/>
        <item x="221"/>
        <item x="121"/>
        <item x="492"/>
        <item x="355"/>
        <item x="4"/>
        <item x="60"/>
        <item x="375"/>
        <item x="528"/>
        <item x="166"/>
        <item x="308"/>
        <item x="91"/>
        <item x="160"/>
        <item x="178"/>
        <item x="126"/>
        <item x="72"/>
        <item x="148"/>
        <item x="421"/>
        <item x="140"/>
        <item x="554"/>
        <item x="518"/>
        <item x="214"/>
        <item x="103"/>
        <item x="525"/>
        <item x="510"/>
        <item x="330"/>
        <item x="248"/>
        <item x="524"/>
        <item x="473"/>
        <item x="58"/>
        <item x="442"/>
        <item x="57"/>
        <item x="23"/>
        <item x="457"/>
        <item x="252"/>
        <item x="31"/>
        <item x="216"/>
        <item x="318"/>
        <item x="280"/>
        <item x="466"/>
        <item x="449"/>
        <item x="8"/>
        <item x="294"/>
        <item x="493"/>
        <item x="333"/>
        <item x="538"/>
        <item x="69"/>
        <item x="88"/>
        <item x="365"/>
        <item x="340"/>
        <item x="313"/>
        <item x="116"/>
        <item x="452"/>
        <item x="471"/>
        <item x="211"/>
        <item x="174"/>
        <item x="371"/>
        <item x="241"/>
        <item x="272"/>
        <item x="363"/>
        <item x="212"/>
        <item x="400"/>
        <item x="28"/>
        <item x="227"/>
        <item x="179"/>
        <item x="301"/>
        <item x="450"/>
        <item x="374"/>
        <item x="110"/>
        <item x="204"/>
        <item x="306"/>
        <item x="459"/>
        <item x="424"/>
        <item x="522"/>
        <item x="185"/>
        <item x="377"/>
        <item x="192"/>
        <item x="368"/>
        <item x="112"/>
        <item x="151"/>
        <item x="383"/>
        <item x="314"/>
        <item x="469"/>
        <item x="435"/>
        <item x="354"/>
        <item x="485"/>
        <item x="133"/>
        <item x="288"/>
        <item x="439"/>
        <item x="253"/>
        <item x="353"/>
        <item x="55"/>
        <item x="205"/>
        <item x="494"/>
        <item x="327"/>
        <item x="484"/>
        <item x="317"/>
        <item x="523"/>
        <item x="470"/>
        <item x="378"/>
        <item x="300"/>
        <item x="348"/>
        <item x="512"/>
        <item x="38"/>
        <item x="235"/>
        <item x="321"/>
        <item x="521"/>
        <item x="443"/>
        <item x="505"/>
        <item x="513"/>
        <item x="537"/>
        <item x="429"/>
        <item x="423"/>
        <item x="119"/>
        <item x="63"/>
        <item x="114"/>
        <item x="39"/>
        <item x="413"/>
        <item x="61"/>
        <item x="13"/>
        <item x="297"/>
        <item x="426"/>
        <item x="552"/>
        <item x="164"/>
        <item x="362"/>
        <item x="100"/>
        <item x="128"/>
        <item x="115"/>
        <item x="527"/>
        <item x="491"/>
        <item x="7"/>
        <item x="266"/>
        <item x="242"/>
        <item x="463"/>
        <item x="380"/>
        <item x="529"/>
        <item x="433"/>
        <item x="102"/>
        <item x="428"/>
        <item x="157"/>
        <item x="113"/>
        <item x="29"/>
        <item x="251"/>
        <item x="10"/>
        <item x="152"/>
        <item x="200"/>
        <item x="79"/>
        <item x="534"/>
        <item x="226"/>
        <item x="76"/>
        <item x="403"/>
        <item x="196"/>
        <item x="193"/>
        <item x="176"/>
        <item x="207"/>
        <item x="51"/>
        <item x="530"/>
        <item x="329"/>
        <item x="535"/>
        <item x="551"/>
        <item x="549"/>
        <item x="27"/>
        <item x="487"/>
        <item x="247"/>
        <item x="451"/>
        <item x="504"/>
        <item x="503"/>
        <item x="26"/>
        <item x="94"/>
        <item x="289"/>
        <item x="225"/>
        <item x="316"/>
        <item x="141"/>
        <item x="395"/>
        <item x="496"/>
        <item x="5"/>
        <item x="338"/>
        <item x="229"/>
        <item x="2"/>
        <item x="145"/>
        <item x="75"/>
        <item x="476"/>
        <item x="224"/>
        <item x="249"/>
        <item x="244"/>
        <item x="438"/>
        <item x="64"/>
        <item x="420"/>
        <item x="293"/>
        <item x="250"/>
        <item x="173"/>
        <item x="213"/>
        <item x="281"/>
        <item x="271"/>
        <item x="181"/>
        <item x="117"/>
        <item x="142"/>
        <item x="285"/>
        <item x="255"/>
        <item x="292"/>
        <item x="50"/>
        <item x="479"/>
        <item x="347"/>
        <item x="109"/>
        <item x="17"/>
        <item x="284"/>
        <item x="304"/>
        <item x="144"/>
        <item x="412"/>
        <item x="44"/>
        <item x="99"/>
        <item x="240"/>
        <item x="35"/>
        <item x="270"/>
        <item x="183"/>
        <item x="218"/>
        <item x="222"/>
        <item x="111"/>
        <item x="162"/>
        <item x="73"/>
        <item x="394"/>
        <item x="168"/>
        <item x="345"/>
        <item x="169"/>
        <item x="343"/>
        <item x="397"/>
        <item x="448"/>
        <item x="422"/>
        <item x="312"/>
        <item x="9"/>
        <item t="default"/>
      </items>
    </pivotField>
    <pivotField axis="axisRow" showAll="0" measureFilter="1" sortType="descending">
      <items count="623">
        <item x="603"/>
        <item x="160"/>
        <item x="158"/>
        <item x="45"/>
        <item x="299"/>
        <item x="178"/>
        <item x="511"/>
        <item x="591"/>
        <item x="460"/>
        <item x="474"/>
        <item x="424"/>
        <item x="610"/>
        <item x="426"/>
        <item x="396"/>
        <item x="419"/>
        <item x="461"/>
        <item x="494"/>
        <item x="135"/>
        <item x="130"/>
        <item x="568"/>
        <item x="520"/>
        <item x="420"/>
        <item x="388"/>
        <item x="596"/>
        <item x="279"/>
        <item x="553"/>
        <item x="545"/>
        <item x="344"/>
        <item x="97"/>
        <item x="239"/>
        <item x="440"/>
        <item x="377"/>
        <item x="296"/>
        <item x="583"/>
        <item x="38"/>
        <item x="334"/>
        <item x="449"/>
        <item x="549"/>
        <item x="537"/>
        <item x="559"/>
        <item x="464"/>
        <item x="125"/>
        <item x="469"/>
        <item x="234"/>
        <item x="378"/>
        <item x="580"/>
        <item x="547"/>
        <item x="504"/>
        <item x="410"/>
        <item x="108"/>
        <item x="121"/>
        <item x="371"/>
        <item x="324"/>
        <item x="478"/>
        <item x="77"/>
        <item x="28"/>
        <item x="414"/>
        <item x="196"/>
        <item x="197"/>
        <item x="129"/>
        <item x="204"/>
        <item x="192"/>
        <item x="131"/>
        <item x="132"/>
        <item x="246"/>
        <item x="567"/>
        <item x="487"/>
        <item x="113"/>
        <item x="248"/>
        <item x="402"/>
        <item x="473"/>
        <item x="592"/>
        <item x="193"/>
        <item x="95"/>
        <item x="219"/>
        <item x="501"/>
        <item x="384"/>
        <item x="168"/>
        <item x="57"/>
        <item x="401"/>
        <item x="527"/>
        <item x="34"/>
        <item x="9"/>
        <item x="472"/>
        <item x="593"/>
        <item x="270"/>
        <item x="579"/>
        <item x="375"/>
        <item x="54"/>
        <item x="180"/>
        <item x="441"/>
        <item x="457"/>
        <item x="466"/>
        <item x="20"/>
        <item x="381"/>
        <item x="515"/>
        <item x="275"/>
        <item x="161"/>
        <item x="73"/>
        <item x="575"/>
        <item x="203"/>
        <item x="190"/>
        <item x="0"/>
        <item x="490"/>
        <item x="398"/>
        <item x="140"/>
        <item x="33"/>
        <item x="232"/>
        <item x="70"/>
        <item x="24"/>
        <item x="65"/>
        <item x="544"/>
        <item x="273"/>
        <item x="458"/>
        <item x="561"/>
        <item x="413"/>
        <item x="417"/>
        <item x="428"/>
        <item x="438"/>
        <item x="422"/>
        <item x="432"/>
        <item x="612"/>
        <item x="598"/>
        <item x="1"/>
        <item x="201"/>
        <item x="44"/>
        <item x="565"/>
        <item x="165"/>
        <item x="159"/>
        <item x="451"/>
        <item x="463"/>
        <item x="483"/>
        <item x="534"/>
        <item x="572"/>
        <item x="608"/>
        <item x="295"/>
        <item x="597"/>
        <item x="383"/>
        <item x="448"/>
        <item x="78"/>
        <item x="350"/>
        <item x="408"/>
        <item x="93"/>
        <item x="48"/>
        <item x="69"/>
        <item x="335"/>
        <item x="391"/>
        <item x="241"/>
        <item x="605"/>
        <item x="415"/>
        <item x="576"/>
        <item x="418"/>
        <item x="574"/>
        <item x="601"/>
        <item x="621"/>
        <item x="138"/>
        <item x="217"/>
        <item x="251"/>
        <item x="85"/>
        <item x="68"/>
        <item x="188"/>
        <item x="10"/>
        <item x="18"/>
        <item x="560"/>
        <item x="532"/>
        <item x="61"/>
        <item x="194"/>
        <item x="64"/>
        <item x="259"/>
        <item x="237"/>
        <item x="260"/>
        <item x="115"/>
        <item x="528"/>
        <item x="552"/>
        <item x="536"/>
        <item x="289"/>
        <item x="89"/>
        <item x="148"/>
        <item x="337"/>
        <item x="329"/>
        <item x="338"/>
        <item x="300"/>
        <item x="470"/>
        <item x="233"/>
        <item x="39"/>
        <item x="315"/>
        <item x="456"/>
        <item x="450"/>
        <item x="569"/>
        <item x="144"/>
        <item x="434"/>
        <item x="609"/>
        <item x="331"/>
        <item x="287"/>
        <item x="252"/>
        <item x="111"/>
        <item x="118"/>
        <item x="468"/>
        <item x="379"/>
        <item x="30"/>
        <item x="517"/>
        <item x="484"/>
        <item x="264"/>
        <item x="370"/>
        <item x="126"/>
        <item x="611"/>
        <item x="62"/>
        <item x="588"/>
        <item x="183"/>
        <item x="151"/>
        <item x="27"/>
        <item x="128"/>
        <item x="492"/>
        <item x="513"/>
        <item x="506"/>
        <item x="499"/>
        <item x="7"/>
        <item x="214"/>
        <item x="509"/>
        <item x="110"/>
        <item x="312"/>
        <item x="282"/>
        <item x="245"/>
        <item x="309"/>
        <item x="387"/>
        <item x="298"/>
        <item x="314"/>
        <item x="156"/>
        <item x="36"/>
        <item x="47"/>
        <item x="155"/>
        <item x="584"/>
        <item x="211"/>
        <item x="216"/>
        <item x="60"/>
        <item x="471"/>
        <item x="247"/>
        <item x="179"/>
        <item x="531"/>
        <item x="56"/>
        <item x="348"/>
        <item x="455"/>
        <item x="429"/>
        <item x="292"/>
        <item x="200"/>
        <item x="423"/>
        <item x="206"/>
        <item x="489"/>
        <item x="485"/>
        <item x="412"/>
        <item x="212"/>
        <item x="15"/>
        <item x="550"/>
        <item x="235"/>
        <item x="254"/>
        <item x="109"/>
        <item x="265"/>
        <item x="145"/>
        <item x="436"/>
        <item x="452"/>
        <item x="267"/>
        <item x="308"/>
        <item x="236"/>
        <item x="529"/>
        <item x="582"/>
        <item x="84"/>
        <item x="462"/>
        <item x="405"/>
        <item x="573"/>
        <item x="343"/>
        <item x="406"/>
        <item x="13"/>
        <item x="181"/>
        <item x="564"/>
        <item x="587"/>
        <item x="187"/>
        <item x="435"/>
        <item x="152"/>
        <item x="425"/>
        <item x="154"/>
        <item x="157"/>
        <item x="523"/>
        <item x="8"/>
        <item x="271"/>
        <item x="409"/>
        <item x="29"/>
        <item x="184"/>
        <item x="191"/>
        <item x="202"/>
        <item x="433"/>
        <item x="590"/>
        <item x="133"/>
        <item x="153"/>
        <item x="238"/>
        <item x="394"/>
        <item x="615"/>
        <item x="302"/>
        <item x="297"/>
        <item x="374"/>
        <item x="311"/>
        <item x="4"/>
        <item x="539"/>
        <item x="346"/>
        <item x="361"/>
        <item x="26"/>
        <item x="215"/>
        <item x="439"/>
        <item x="146"/>
        <item x="63"/>
        <item x="66"/>
        <item x="395"/>
        <item x="467"/>
        <item x="14"/>
        <item x="12"/>
        <item x="87"/>
        <item x="86"/>
        <item x="35"/>
        <item x="81"/>
        <item x="141"/>
        <item x="345"/>
        <item x="83"/>
        <item x="272"/>
        <item x="341"/>
        <item x="430"/>
        <item x="376"/>
        <item x="50"/>
        <item x="278"/>
        <item x="100"/>
        <item x="40"/>
        <item x="207"/>
        <item x="393"/>
        <item x="503"/>
        <item x="479"/>
        <item x="356"/>
        <item x="437"/>
        <item x="427"/>
        <item x="421"/>
        <item x="431"/>
        <item x="465"/>
        <item x="304"/>
        <item x="618"/>
        <item x="122"/>
        <item x="614"/>
        <item x="198"/>
        <item x="244"/>
        <item x="392"/>
        <item x="332"/>
        <item x="619"/>
        <item x="127"/>
        <item x="261"/>
        <item x="416"/>
        <item x="607"/>
        <item x="366"/>
        <item x="538"/>
        <item x="496"/>
        <item x="447"/>
        <item x="475"/>
        <item x="535"/>
        <item x="613"/>
        <item x="351"/>
        <item x="522"/>
        <item x="581"/>
        <item x="554"/>
        <item x="512"/>
        <item x="352"/>
        <item x="589"/>
        <item x="606"/>
        <item x="459"/>
        <item x="453"/>
        <item x="566"/>
        <item x="542"/>
        <item x="558"/>
        <item x="443"/>
        <item x="498"/>
        <item x="530"/>
        <item x="340"/>
        <item x="599"/>
        <item x="491"/>
        <item x="505"/>
        <item x="519"/>
        <item x="518"/>
        <item x="551"/>
        <item x="526"/>
        <item x="164"/>
        <item x="120"/>
        <item x="162"/>
        <item x="602"/>
        <item x="347"/>
        <item x="342"/>
        <item x="281"/>
        <item x="101"/>
        <item x="548"/>
        <item x="221"/>
        <item x="71"/>
        <item x="317"/>
        <item x="446"/>
        <item x="497"/>
        <item x="42"/>
        <item x="333"/>
        <item x="6"/>
        <item x="389"/>
        <item x="16"/>
        <item x="330"/>
        <item x="521"/>
        <item x="55"/>
        <item x="175"/>
        <item x="226"/>
        <item x="563"/>
        <item x="301"/>
        <item x="170"/>
        <item x="105"/>
        <item x="353"/>
        <item x="277"/>
        <item x="163"/>
        <item x="316"/>
        <item x="22"/>
        <item x="52"/>
        <item x="136"/>
        <item x="123"/>
        <item x="32"/>
        <item x="268"/>
        <item x="323"/>
        <item x="540"/>
        <item x="134"/>
        <item x="514"/>
        <item x="92"/>
        <item x="325"/>
        <item x="276"/>
        <item x="98"/>
        <item x="541"/>
        <item x="11"/>
        <item x="477"/>
        <item x="354"/>
        <item x="481"/>
        <item x="382"/>
        <item x="288"/>
        <item x="411"/>
        <item x="516"/>
        <item x="230"/>
        <item x="318"/>
        <item x="218"/>
        <item x="225"/>
        <item x="228"/>
        <item x="358"/>
        <item x="213"/>
        <item x="90"/>
        <item x="173"/>
        <item x="507"/>
        <item x="169"/>
        <item x="524"/>
        <item x="43"/>
        <item x="362"/>
        <item x="250"/>
        <item x="143"/>
        <item x="274"/>
        <item x="556"/>
        <item x="58"/>
        <item x="240"/>
        <item x="442"/>
        <item x="210"/>
        <item x="137"/>
        <item x="360"/>
        <item x="364"/>
        <item x="88"/>
        <item x="313"/>
        <item x="229"/>
        <item x="365"/>
        <item x="586"/>
        <item x="139"/>
        <item x="102"/>
        <item x="222"/>
        <item x="403"/>
        <item x="290"/>
        <item x="284"/>
        <item x="25"/>
        <item x="220"/>
        <item x="562"/>
        <item x="176"/>
        <item x="445"/>
        <item x="280"/>
        <item x="380"/>
        <item x="339"/>
        <item x="49"/>
        <item x="51"/>
        <item x="116"/>
        <item x="570"/>
        <item x="3"/>
        <item x="19"/>
        <item x="327"/>
        <item x="99"/>
        <item x="399"/>
        <item x="500"/>
        <item x="407"/>
        <item x="167"/>
        <item x="253"/>
        <item x="363"/>
        <item x="174"/>
        <item x="257"/>
        <item x="80"/>
        <item x="263"/>
        <item x="75"/>
        <item x="286"/>
        <item x="578"/>
        <item x="107"/>
        <item x="585"/>
        <item x="571"/>
        <item x="533"/>
        <item x="502"/>
        <item x="59"/>
        <item x="326"/>
        <item x="23"/>
        <item x="307"/>
        <item x="31"/>
        <item x="373"/>
        <item x="404"/>
        <item x="349"/>
        <item x="390"/>
        <item x="91"/>
        <item x="397"/>
        <item x="368"/>
        <item x="242"/>
        <item x="322"/>
        <item x="243"/>
        <item x="577"/>
        <item x="262"/>
        <item x="223"/>
        <item x="117"/>
        <item x="495"/>
        <item x="555"/>
        <item x="372"/>
        <item x="285"/>
        <item x="355"/>
        <item x="124"/>
        <item x="119"/>
        <item x="525"/>
        <item x="486"/>
        <item x="104"/>
        <item x="255"/>
        <item x="476"/>
        <item x="493"/>
        <item x="106"/>
        <item x="319"/>
        <item x="303"/>
        <item x="269"/>
        <item x="488"/>
        <item x="171"/>
        <item x="306"/>
        <item x="166"/>
        <item x="231"/>
        <item x="82"/>
        <item x="594"/>
        <item x="227"/>
        <item x="224"/>
        <item x="53"/>
        <item x="386"/>
        <item x="595"/>
        <item x="617"/>
        <item x="74"/>
        <item x="266"/>
        <item x="208"/>
        <item x="369"/>
        <item x="357"/>
        <item x="359"/>
        <item x="557"/>
        <item x="5"/>
        <item x="2"/>
        <item x="283"/>
        <item x="67"/>
        <item x="480"/>
        <item x="305"/>
        <item x="142"/>
        <item x="199"/>
        <item x="310"/>
        <item x="114"/>
        <item x="17"/>
        <item x="328"/>
        <item x="46"/>
        <item x="103"/>
        <item x="41"/>
        <item x="37"/>
        <item x="72"/>
        <item x="249"/>
        <item x="256"/>
        <item x="96"/>
        <item x="209"/>
        <item x="76"/>
        <item x="508"/>
        <item x="482"/>
        <item x="367"/>
        <item x="444"/>
        <item x="321"/>
        <item x="258"/>
        <item x="400"/>
        <item x="79"/>
        <item x="172"/>
        <item x="294"/>
        <item x="620"/>
        <item x="600"/>
        <item x="21"/>
        <item x="336"/>
        <item x="546"/>
        <item x="616"/>
        <item x="510"/>
        <item x="604"/>
        <item x="543"/>
        <item x="147"/>
        <item x="293"/>
        <item x="94"/>
        <item x="320"/>
        <item x="385"/>
        <item x="150"/>
        <item x="149"/>
        <item x="291"/>
        <item x="112"/>
        <item x="454"/>
        <item x="185"/>
        <item x="186"/>
        <item x="205"/>
        <item x="195"/>
        <item x="189"/>
        <item x="177"/>
        <item x="182"/>
        <item t="default"/>
      </items>
      <autoSortScope>
        <pivotArea dataOnly="0" outline="0" fieldPosition="0">
          <references count="1">
            <reference field="4294967294" count="1" selected="0">
              <x v="0"/>
            </reference>
          </references>
        </pivotArea>
      </autoSortScope>
    </pivotField>
    <pivotField showAll="0">
      <items count="93">
        <item x="19"/>
        <item x="63"/>
        <item x="50"/>
        <item x="24"/>
        <item x="6"/>
        <item x="11"/>
        <item x="18"/>
        <item x="68"/>
        <item x="15"/>
        <item x="2"/>
        <item x="59"/>
        <item x="21"/>
        <item x="67"/>
        <item x="32"/>
        <item x="60"/>
        <item x="12"/>
        <item x="66"/>
        <item x="0"/>
        <item x="53"/>
        <item x="64"/>
        <item x="86"/>
        <item x="56"/>
        <item x="43"/>
        <item x="49"/>
        <item x="48"/>
        <item x="14"/>
        <item x="44"/>
        <item x="1"/>
        <item x="54"/>
        <item x="91"/>
        <item x="37"/>
        <item x="90"/>
        <item x="89"/>
        <item x="46"/>
        <item x="61"/>
        <item x="13"/>
        <item x="58"/>
        <item x="57"/>
        <item x="34"/>
        <item x="27"/>
        <item x="88"/>
        <item x="87"/>
        <item x="25"/>
        <item x="70"/>
        <item x="3"/>
        <item x="81"/>
        <item x="82"/>
        <item x="85"/>
        <item x="75"/>
        <item x="38"/>
        <item x="7"/>
        <item x="79"/>
        <item x="52"/>
        <item x="20"/>
        <item x="72"/>
        <item x="5"/>
        <item x="65"/>
        <item x="40"/>
        <item x="41"/>
        <item x="36"/>
        <item x="8"/>
        <item x="84"/>
        <item x="16"/>
        <item x="69"/>
        <item x="77"/>
        <item x="22"/>
        <item x="4"/>
        <item x="73"/>
        <item x="26"/>
        <item x="28"/>
        <item x="33"/>
        <item x="71"/>
        <item x="29"/>
        <item x="80"/>
        <item x="9"/>
        <item x="23"/>
        <item x="35"/>
        <item x="31"/>
        <item x="74"/>
        <item x="76"/>
        <item x="30"/>
        <item x="47"/>
        <item x="62"/>
        <item x="17"/>
        <item x="42"/>
        <item x="39"/>
        <item x="51"/>
        <item x="45"/>
        <item x="83"/>
        <item x="10"/>
        <item x="78"/>
        <item x="55"/>
        <item t="default"/>
      </items>
    </pivotField>
    <pivotField showAll="0">
      <items count="4">
        <item x="1"/>
        <item x="0"/>
        <item x="2"/>
        <item t="default"/>
      </items>
    </pivotField>
    <pivotField showAll="0"/>
    <pivotField dataField="1" showAll="0"/>
    <pivotField showAll="0"/>
    <pivotField showAll="0"/>
    <pivotField showAll="0"/>
    <pivotField showAll="0"/>
    <pivotField showAll="0"/>
    <pivotField showAll="0"/>
    <pivotField showAll="0"/>
  </pivotFields>
  <rowFields count="2">
    <field x="2"/>
    <field x="0"/>
  </rowFields>
  <rowItems count="11">
    <i>
      <x v="578"/>
    </i>
    <i r="1">
      <x v="68"/>
    </i>
    <i>
      <x v="285"/>
    </i>
    <i r="1">
      <x v="68"/>
    </i>
    <i>
      <x v="325"/>
    </i>
    <i r="1">
      <x v="68"/>
    </i>
    <i>
      <x v="486"/>
    </i>
    <i r="1">
      <x v="2"/>
    </i>
    <i>
      <x v="553"/>
    </i>
    <i r="1">
      <x v="2"/>
    </i>
    <i t="grand">
      <x/>
    </i>
  </rowItems>
  <colItems count="1">
    <i/>
  </colItems>
  <dataFields count="1">
    <dataField name="Sum of Tuition_USD" fld="6" baseField="0" baseItem="0" numFmtId="166"/>
  </dataFields>
  <formats count="2">
    <format dxfId="28">
      <pivotArea field="0" type="button" dataOnly="0" labelOnly="1" outline="0" axis="axisRow" fieldPosition="1"/>
    </format>
    <format dxfId="27">
      <pivotArea outline="0" fieldPosition="0">
        <references count="1">
          <reference field="4294967294" count="1">
            <x v="0"/>
          </reference>
        </references>
      </pivotArea>
    </format>
  </formats>
  <chartFormats count="10">
    <chartFormat chart="17" format="0" series="1">
      <pivotArea type="data" outline="0" fieldPosition="0">
        <references count="1">
          <reference field="4294967294" count="1" selected="0">
            <x v="0"/>
          </reference>
        </references>
      </pivotArea>
    </chartFormat>
    <chartFormat chart="17" format="1">
      <pivotArea type="data" outline="0" fieldPosition="0">
        <references count="3">
          <reference field="4294967294" count="1" selected="0">
            <x v="0"/>
          </reference>
          <reference field="0" count="1" selected="0">
            <x v="68"/>
          </reference>
          <reference field="2" count="1" selected="0">
            <x v="285"/>
          </reference>
        </references>
      </pivotArea>
    </chartFormat>
    <chartFormat chart="17" format="2">
      <pivotArea type="data" outline="0" fieldPosition="0">
        <references count="3">
          <reference field="4294967294" count="1" selected="0">
            <x v="0"/>
          </reference>
          <reference field="0" count="1" selected="0">
            <x v="68"/>
          </reference>
          <reference field="2" count="1" selected="0">
            <x v="578"/>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3">
          <reference field="4294967294" count="1" selected="0">
            <x v="0"/>
          </reference>
          <reference field="0" count="1" selected="0">
            <x v="68"/>
          </reference>
          <reference field="2" count="1" selected="0">
            <x v="578"/>
          </reference>
        </references>
      </pivotArea>
    </chartFormat>
    <chartFormat chart="21" format="8">
      <pivotArea type="data" outline="0" fieldPosition="0">
        <references count="3">
          <reference field="4294967294" count="1" selected="0">
            <x v="0"/>
          </reference>
          <reference field="0" count="1" selected="0">
            <x v="68"/>
          </reference>
          <reference field="2" count="1" selected="0">
            <x v="285"/>
          </reference>
        </references>
      </pivotArea>
    </chartFormat>
    <chartFormat chart="21" format="9">
      <pivotArea type="data" outline="0" fieldPosition="0">
        <references count="3">
          <reference field="4294967294" count="1" selected="0">
            <x v="0"/>
          </reference>
          <reference field="0" count="1" selected="0">
            <x v="2"/>
          </reference>
          <reference field="2" count="1" selected="0">
            <x v="553"/>
          </reference>
        </references>
      </pivotArea>
    </chartFormat>
    <chartFormat chart="21" format="10">
      <pivotArea type="data" outline="0" fieldPosition="0">
        <references count="3">
          <reference field="4294967294" count="1" selected="0">
            <x v="0"/>
          </reference>
          <reference field="0" count="1" selected="0">
            <x v="2"/>
          </reference>
          <reference field="2" count="1" selected="0">
            <x v="486"/>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8FF99EE-0B79-457B-99B9-738C3A4C47A9}" name="PivotTable3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A45" firstHeaderRow="1" firstDataRow="1" firstDataCol="0"/>
  <pivotFields count="14">
    <pivotField showAll="0">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pivotField>
    <pivotField showAll="0">
      <items count="557">
        <item x="254"/>
        <item x="81"/>
        <item x="43"/>
        <item x="163"/>
        <item x="190"/>
        <item x="357"/>
        <item x="464"/>
        <item x="68"/>
        <item x="367"/>
        <item x="387"/>
        <item x="531"/>
        <item x="372"/>
        <item x="515"/>
        <item x="555"/>
        <item x="361"/>
        <item x="465"/>
        <item x="490"/>
        <item x="6"/>
        <item x="536"/>
        <item x="324"/>
        <item x="19"/>
        <item x="488"/>
        <item x="339"/>
        <item x="332"/>
        <item x="431"/>
        <item x="77"/>
        <item x="208"/>
        <item x="381"/>
        <item x="123"/>
        <item x="243"/>
        <item x="20"/>
        <item x="16"/>
        <item x="21"/>
        <item x="279"/>
        <item x="230"/>
        <item x="90"/>
        <item x="392"/>
        <item x="42"/>
        <item x="548"/>
        <item x="124"/>
        <item x="53"/>
        <item x="399"/>
        <item x="33"/>
        <item x="195"/>
        <item x="12"/>
        <item x="460"/>
        <item x="105"/>
        <item x="502"/>
        <item x="396"/>
        <item x="246"/>
        <item x="48"/>
        <item x="52"/>
        <item x="156"/>
        <item x="418"/>
        <item x="302"/>
        <item x="101"/>
        <item x="454"/>
        <item x="257"/>
        <item x="384"/>
        <item x="298"/>
        <item x="234"/>
        <item x="149"/>
        <item x="414"/>
        <item x="30"/>
        <item x="95"/>
        <item x="277"/>
        <item x="407"/>
        <item x="84"/>
        <item x="262"/>
        <item x="228"/>
        <item x="22"/>
        <item x="203"/>
        <item x="18"/>
        <item x="405"/>
        <item x="385"/>
        <item x="323"/>
        <item x="131"/>
        <item x="520"/>
        <item x="486"/>
        <item x="335"/>
        <item x="15"/>
        <item x="468"/>
        <item x="130"/>
        <item x="118"/>
        <item x="393"/>
        <item x="0"/>
        <item x="358"/>
        <item x="36"/>
        <item x="480"/>
        <item x="129"/>
        <item x="104"/>
        <item x="415"/>
        <item x="430"/>
        <item x="533"/>
        <item x="319"/>
        <item x="170"/>
        <item x="364"/>
        <item x="177"/>
        <item x="356"/>
        <item x="89"/>
        <item x="458"/>
        <item x="350"/>
        <item x="489"/>
        <item x="506"/>
        <item x="273"/>
        <item x="390"/>
        <item x="275"/>
        <item x="186"/>
        <item x="233"/>
        <item x="182"/>
        <item x="411"/>
        <item x="481"/>
        <item x="11"/>
        <item x="432"/>
        <item x="236"/>
        <item x="187"/>
        <item x="215"/>
        <item x="417"/>
        <item x="475"/>
        <item x="445"/>
        <item x="546"/>
        <item x="171"/>
        <item x="46"/>
        <item x="547"/>
        <item x="83"/>
        <item x="74"/>
        <item x="474"/>
        <item x="97"/>
        <item x="217"/>
        <item x="326"/>
        <item x="34"/>
        <item x="359"/>
        <item x="419"/>
        <item x="239"/>
        <item x="541"/>
        <item x="498"/>
        <item x="408"/>
        <item x="532"/>
        <item x="320"/>
        <item x="78"/>
        <item x="125"/>
        <item x="14"/>
        <item x="456"/>
        <item x="199"/>
        <item x="276"/>
        <item x="92"/>
        <item x="188"/>
        <item x="40"/>
        <item x="136"/>
        <item x="137"/>
        <item x="263"/>
        <item x="391"/>
        <item x="331"/>
        <item x="245"/>
        <item x="194"/>
        <item x="197"/>
        <item x="441"/>
        <item x="282"/>
        <item x="437"/>
        <item x="303"/>
        <item x="373"/>
        <item x="232"/>
        <item x="87"/>
        <item x="159"/>
        <item x="382"/>
        <item x="62"/>
        <item x="286"/>
        <item x="447"/>
        <item x="184"/>
        <item x="45"/>
        <item x="406"/>
        <item x="155"/>
        <item x="325"/>
        <item x="455"/>
        <item x="366"/>
        <item x="260"/>
        <item x="41"/>
        <item x="70"/>
        <item x="274"/>
        <item x="307"/>
        <item x="290"/>
        <item x="219"/>
        <item x="147"/>
        <item x="138"/>
        <item x="296"/>
        <item x="167"/>
        <item x="467"/>
        <item x="172"/>
        <item x="337"/>
        <item x="398"/>
        <item x="108"/>
        <item x="80"/>
        <item x="106"/>
        <item x="165"/>
        <item x="86"/>
        <item x="341"/>
        <item x="370"/>
        <item x="507"/>
        <item x="32"/>
        <item x="56"/>
        <item x="299"/>
        <item x="201"/>
        <item x="269"/>
        <item x="67"/>
        <item x="495"/>
        <item x="135"/>
        <item x="71"/>
        <item x="24"/>
        <item x="267"/>
        <item x="209"/>
        <item x="369"/>
        <item x="401"/>
        <item x="175"/>
        <item x="305"/>
        <item x="309"/>
        <item x="477"/>
        <item x="511"/>
        <item x="120"/>
        <item x="127"/>
        <item x="328"/>
        <item x="132"/>
        <item x="539"/>
        <item x="85"/>
        <item x="268"/>
        <item x="540"/>
        <item x="483"/>
        <item x="258"/>
        <item x="66"/>
        <item x="379"/>
        <item x="82"/>
        <item x="283"/>
        <item x="416"/>
        <item x="344"/>
        <item x="334"/>
        <item x="352"/>
        <item x="210"/>
        <item x="198"/>
        <item x="516"/>
        <item x="360"/>
        <item x="514"/>
        <item x="220"/>
        <item x="402"/>
        <item x="310"/>
        <item x="65"/>
        <item x="259"/>
        <item x="349"/>
        <item x="404"/>
        <item x="517"/>
        <item x="526"/>
        <item x="389"/>
        <item x="264"/>
        <item x="47"/>
        <item x="542"/>
        <item x="472"/>
        <item x="265"/>
        <item x="499"/>
        <item x="500"/>
        <item x="59"/>
        <item x="497"/>
        <item x="446"/>
        <item x="436"/>
        <item x="134"/>
        <item x="206"/>
        <item x="261"/>
        <item x="434"/>
        <item x="154"/>
        <item x="98"/>
        <item x="191"/>
        <item x="143"/>
        <item x="315"/>
        <item x="322"/>
        <item x="346"/>
        <item x="150"/>
        <item x="425"/>
        <item x="427"/>
        <item x="237"/>
        <item x="278"/>
        <item x="295"/>
        <item x="25"/>
        <item x="231"/>
        <item x="189"/>
        <item x="501"/>
        <item x="410"/>
        <item x="482"/>
        <item x="1"/>
        <item x="107"/>
        <item x="180"/>
        <item x="202"/>
        <item x="336"/>
        <item x="161"/>
        <item x="158"/>
        <item x="37"/>
        <item x="386"/>
        <item x="508"/>
        <item x="256"/>
        <item x="146"/>
        <item x="139"/>
        <item x="93"/>
        <item x="287"/>
        <item x="553"/>
        <item x="409"/>
        <item x="478"/>
        <item x="461"/>
        <item x="49"/>
        <item x="376"/>
        <item x="509"/>
        <item x="444"/>
        <item x="545"/>
        <item x="519"/>
        <item x="238"/>
        <item x="388"/>
        <item x="543"/>
        <item x="550"/>
        <item x="3"/>
        <item x="453"/>
        <item x="311"/>
        <item x="122"/>
        <item x="54"/>
        <item x="96"/>
        <item x="342"/>
        <item x="544"/>
        <item x="440"/>
        <item x="223"/>
        <item x="351"/>
        <item x="291"/>
        <item x="462"/>
        <item x="153"/>
        <item x="221"/>
        <item x="121"/>
        <item x="492"/>
        <item x="355"/>
        <item x="4"/>
        <item x="60"/>
        <item x="375"/>
        <item x="528"/>
        <item x="166"/>
        <item x="308"/>
        <item x="91"/>
        <item x="160"/>
        <item x="178"/>
        <item x="126"/>
        <item x="72"/>
        <item x="148"/>
        <item x="421"/>
        <item x="140"/>
        <item x="554"/>
        <item x="518"/>
        <item x="214"/>
        <item x="103"/>
        <item x="525"/>
        <item x="510"/>
        <item x="330"/>
        <item x="248"/>
        <item x="524"/>
        <item x="473"/>
        <item x="58"/>
        <item x="442"/>
        <item x="57"/>
        <item x="23"/>
        <item x="457"/>
        <item x="252"/>
        <item x="31"/>
        <item x="216"/>
        <item x="318"/>
        <item x="280"/>
        <item x="466"/>
        <item x="449"/>
        <item x="8"/>
        <item x="294"/>
        <item x="493"/>
        <item x="333"/>
        <item x="538"/>
        <item x="69"/>
        <item x="88"/>
        <item x="365"/>
        <item x="340"/>
        <item x="313"/>
        <item x="116"/>
        <item x="452"/>
        <item x="471"/>
        <item x="211"/>
        <item x="174"/>
        <item x="371"/>
        <item x="241"/>
        <item x="272"/>
        <item x="363"/>
        <item x="212"/>
        <item x="400"/>
        <item x="28"/>
        <item x="227"/>
        <item x="179"/>
        <item x="301"/>
        <item x="450"/>
        <item x="374"/>
        <item x="110"/>
        <item x="204"/>
        <item x="306"/>
        <item x="459"/>
        <item x="424"/>
        <item x="522"/>
        <item x="185"/>
        <item x="377"/>
        <item x="192"/>
        <item x="368"/>
        <item x="112"/>
        <item x="151"/>
        <item x="383"/>
        <item x="314"/>
        <item x="469"/>
        <item x="435"/>
        <item x="354"/>
        <item x="485"/>
        <item x="133"/>
        <item x="288"/>
        <item x="439"/>
        <item x="253"/>
        <item x="353"/>
        <item x="55"/>
        <item x="205"/>
        <item x="494"/>
        <item x="327"/>
        <item x="484"/>
        <item x="317"/>
        <item x="523"/>
        <item x="470"/>
        <item x="378"/>
        <item x="300"/>
        <item x="348"/>
        <item x="512"/>
        <item x="38"/>
        <item x="235"/>
        <item x="321"/>
        <item x="521"/>
        <item x="443"/>
        <item x="505"/>
        <item x="513"/>
        <item x="537"/>
        <item x="429"/>
        <item x="423"/>
        <item x="119"/>
        <item x="63"/>
        <item x="114"/>
        <item x="39"/>
        <item x="413"/>
        <item x="61"/>
        <item x="13"/>
        <item x="297"/>
        <item x="426"/>
        <item x="552"/>
        <item x="164"/>
        <item x="362"/>
        <item x="100"/>
        <item x="128"/>
        <item x="115"/>
        <item x="527"/>
        <item x="491"/>
        <item x="7"/>
        <item x="266"/>
        <item x="242"/>
        <item x="463"/>
        <item x="380"/>
        <item x="529"/>
        <item x="433"/>
        <item x="102"/>
        <item x="428"/>
        <item x="157"/>
        <item x="113"/>
        <item x="29"/>
        <item x="251"/>
        <item x="10"/>
        <item x="152"/>
        <item x="200"/>
        <item x="79"/>
        <item x="534"/>
        <item x="226"/>
        <item x="76"/>
        <item x="403"/>
        <item x="196"/>
        <item x="193"/>
        <item x="176"/>
        <item x="207"/>
        <item x="51"/>
        <item x="530"/>
        <item x="329"/>
        <item x="535"/>
        <item x="551"/>
        <item x="549"/>
        <item x="27"/>
        <item x="487"/>
        <item x="247"/>
        <item x="451"/>
        <item x="504"/>
        <item x="503"/>
        <item x="26"/>
        <item x="94"/>
        <item x="289"/>
        <item x="225"/>
        <item x="316"/>
        <item x="141"/>
        <item x="395"/>
        <item x="496"/>
        <item x="5"/>
        <item x="338"/>
        <item x="229"/>
        <item x="2"/>
        <item x="145"/>
        <item x="75"/>
        <item x="476"/>
        <item x="224"/>
        <item x="249"/>
        <item x="244"/>
        <item x="438"/>
        <item x="64"/>
        <item x="420"/>
        <item x="293"/>
        <item x="250"/>
        <item x="173"/>
        <item x="213"/>
        <item x="281"/>
        <item x="271"/>
        <item x="181"/>
        <item x="117"/>
        <item x="142"/>
        <item x="285"/>
        <item x="255"/>
        <item x="292"/>
        <item x="50"/>
        <item x="479"/>
        <item x="347"/>
        <item x="109"/>
        <item x="17"/>
        <item x="284"/>
        <item x="304"/>
        <item x="144"/>
        <item x="412"/>
        <item x="44"/>
        <item x="99"/>
        <item x="240"/>
        <item x="35"/>
        <item x="270"/>
        <item x="183"/>
        <item x="218"/>
        <item x="222"/>
        <item x="111"/>
        <item x="162"/>
        <item x="73"/>
        <item x="394"/>
        <item x="168"/>
        <item x="345"/>
        <item x="169"/>
        <item x="343"/>
        <item x="397"/>
        <item x="448"/>
        <item x="422"/>
        <item x="312"/>
        <item x="9"/>
        <item t="default"/>
      </items>
    </pivotField>
    <pivotField showAll="0">
      <items count="623">
        <item x="603"/>
        <item x="160"/>
        <item x="158"/>
        <item x="45"/>
        <item x="299"/>
        <item x="178"/>
        <item x="511"/>
        <item x="591"/>
        <item x="460"/>
        <item x="474"/>
        <item x="424"/>
        <item x="610"/>
        <item x="426"/>
        <item x="396"/>
        <item x="419"/>
        <item x="461"/>
        <item x="494"/>
        <item x="135"/>
        <item x="130"/>
        <item x="568"/>
        <item x="520"/>
        <item x="420"/>
        <item x="388"/>
        <item x="596"/>
        <item x="279"/>
        <item x="553"/>
        <item x="545"/>
        <item x="344"/>
        <item x="97"/>
        <item x="239"/>
        <item x="440"/>
        <item x="377"/>
        <item x="296"/>
        <item x="583"/>
        <item x="38"/>
        <item x="334"/>
        <item x="449"/>
        <item x="549"/>
        <item x="537"/>
        <item x="559"/>
        <item x="464"/>
        <item x="125"/>
        <item x="469"/>
        <item x="234"/>
        <item x="378"/>
        <item x="580"/>
        <item x="547"/>
        <item x="504"/>
        <item x="410"/>
        <item x="108"/>
        <item x="121"/>
        <item x="371"/>
        <item x="324"/>
        <item x="478"/>
        <item x="77"/>
        <item x="28"/>
        <item x="414"/>
        <item x="196"/>
        <item x="197"/>
        <item x="129"/>
        <item x="204"/>
        <item x="192"/>
        <item x="131"/>
        <item x="132"/>
        <item x="246"/>
        <item x="567"/>
        <item x="487"/>
        <item x="113"/>
        <item x="248"/>
        <item x="402"/>
        <item x="473"/>
        <item x="592"/>
        <item x="193"/>
        <item x="95"/>
        <item x="219"/>
        <item x="501"/>
        <item x="384"/>
        <item x="168"/>
        <item x="57"/>
        <item x="401"/>
        <item x="527"/>
        <item x="34"/>
        <item x="9"/>
        <item x="472"/>
        <item x="593"/>
        <item x="270"/>
        <item x="579"/>
        <item x="375"/>
        <item x="54"/>
        <item x="180"/>
        <item x="441"/>
        <item x="457"/>
        <item x="466"/>
        <item x="20"/>
        <item x="381"/>
        <item x="515"/>
        <item x="275"/>
        <item x="161"/>
        <item x="73"/>
        <item x="575"/>
        <item x="203"/>
        <item x="190"/>
        <item x="0"/>
        <item x="490"/>
        <item x="398"/>
        <item x="140"/>
        <item x="33"/>
        <item x="232"/>
        <item x="70"/>
        <item x="24"/>
        <item x="65"/>
        <item x="544"/>
        <item x="273"/>
        <item x="458"/>
        <item x="561"/>
        <item x="413"/>
        <item x="417"/>
        <item x="428"/>
        <item x="438"/>
        <item x="422"/>
        <item x="432"/>
        <item x="612"/>
        <item x="598"/>
        <item x="1"/>
        <item x="201"/>
        <item x="44"/>
        <item x="565"/>
        <item x="165"/>
        <item x="159"/>
        <item x="451"/>
        <item x="463"/>
        <item x="483"/>
        <item x="534"/>
        <item x="572"/>
        <item x="608"/>
        <item x="295"/>
        <item x="597"/>
        <item x="383"/>
        <item x="448"/>
        <item x="78"/>
        <item x="350"/>
        <item x="408"/>
        <item x="93"/>
        <item x="48"/>
        <item x="69"/>
        <item x="335"/>
        <item x="391"/>
        <item x="241"/>
        <item x="605"/>
        <item x="415"/>
        <item x="576"/>
        <item x="418"/>
        <item x="574"/>
        <item x="601"/>
        <item x="621"/>
        <item x="138"/>
        <item x="217"/>
        <item x="251"/>
        <item x="85"/>
        <item x="68"/>
        <item x="188"/>
        <item x="10"/>
        <item x="18"/>
        <item x="560"/>
        <item x="532"/>
        <item x="61"/>
        <item x="194"/>
        <item x="64"/>
        <item x="259"/>
        <item x="237"/>
        <item x="260"/>
        <item x="115"/>
        <item x="528"/>
        <item x="552"/>
        <item x="536"/>
        <item x="289"/>
        <item x="89"/>
        <item x="148"/>
        <item x="337"/>
        <item x="329"/>
        <item x="338"/>
        <item x="300"/>
        <item x="470"/>
        <item x="233"/>
        <item x="39"/>
        <item x="315"/>
        <item x="456"/>
        <item x="450"/>
        <item x="569"/>
        <item x="144"/>
        <item x="434"/>
        <item x="609"/>
        <item x="331"/>
        <item x="287"/>
        <item x="252"/>
        <item x="111"/>
        <item x="118"/>
        <item x="468"/>
        <item x="379"/>
        <item x="30"/>
        <item x="517"/>
        <item x="484"/>
        <item x="264"/>
        <item x="370"/>
        <item x="126"/>
        <item x="611"/>
        <item x="62"/>
        <item x="588"/>
        <item x="183"/>
        <item x="151"/>
        <item x="27"/>
        <item x="128"/>
        <item x="492"/>
        <item x="513"/>
        <item x="506"/>
        <item x="499"/>
        <item x="7"/>
        <item x="214"/>
        <item x="509"/>
        <item x="110"/>
        <item x="312"/>
        <item x="282"/>
        <item x="245"/>
        <item x="309"/>
        <item x="387"/>
        <item x="298"/>
        <item x="314"/>
        <item x="156"/>
        <item x="36"/>
        <item x="47"/>
        <item x="155"/>
        <item x="584"/>
        <item x="211"/>
        <item x="216"/>
        <item x="60"/>
        <item x="471"/>
        <item x="247"/>
        <item x="179"/>
        <item x="531"/>
        <item x="56"/>
        <item x="348"/>
        <item x="455"/>
        <item x="429"/>
        <item x="292"/>
        <item x="200"/>
        <item x="423"/>
        <item x="206"/>
        <item x="489"/>
        <item x="485"/>
        <item x="412"/>
        <item x="212"/>
        <item x="15"/>
        <item x="550"/>
        <item x="235"/>
        <item x="254"/>
        <item x="109"/>
        <item x="265"/>
        <item x="145"/>
        <item x="436"/>
        <item x="452"/>
        <item x="267"/>
        <item x="308"/>
        <item x="236"/>
        <item x="529"/>
        <item x="582"/>
        <item x="84"/>
        <item x="462"/>
        <item x="405"/>
        <item x="573"/>
        <item x="343"/>
        <item x="406"/>
        <item x="13"/>
        <item x="181"/>
        <item x="564"/>
        <item x="587"/>
        <item x="187"/>
        <item x="435"/>
        <item x="152"/>
        <item x="425"/>
        <item x="154"/>
        <item x="157"/>
        <item x="523"/>
        <item x="8"/>
        <item x="271"/>
        <item x="409"/>
        <item x="29"/>
        <item x="184"/>
        <item x="191"/>
        <item x="202"/>
        <item x="433"/>
        <item x="590"/>
        <item x="133"/>
        <item x="153"/>
        <item x="238"/>
        <item x="394"/>
        <item x="615"/>
        <item x="302"/>
        <item x="297"/>
        <item x="374"/>
        <item x="311"/>
        <item x="4"/>
        <item x="539"/>
        <item x="346"/>
        <item x="361"/>
        <item x="26"/>
        <item x="215"/>
        <item x="439"/>
        <item x="146"/>
        <item x="63"/>
        <item x="66"/>
        <item x="395"/>
        <item x="467"/>
        <item x="14"/>
        <item x="12"/>
        <item x="87"/>
        <item x="86"/>
        <item x="35"/>
        <item x="81"/>
        <item x="141"/>
        <item x="345"/>
        <item x="83"/>
        <item x="272"/>
        <item x="341"/>
        <item x="430"/>
        <item x="376"/>
        <item x="50"/>
        <item x="278"/>
        <item x="100"/>
        <item x="40"/>
        <item x="207"/>
        <item x="393"/>
        <item x="503"/>
        <item x="479"/>
        <item x="356"/>
        <item x="437"/>
        <item x="427"/>
        <item x="421"/>
        <item x="431"/>
        <item x="465"/>
        <item x="304"/>
        <item x="618"/>
        <item x="122"/>
        <item x="614"/>
        <item x="198"/>
        <item x="244"/>
        <item x="392"/>
        <item x="332"/>
        <item x="619"/>
        <item x="127"/>
        <item x="261"/>
        <item x="416"/>
        <item x="607"/>
        <item x="366"/>
        <item x="538"/>
        <item x="496"/>
        <item x="447"/>
        <item x="475"/>
        <item x="535"/>
        <item x="613"/>
        <item x="351"/>
        <item x="522"/>
        <item x="581"/>
        <item x="554"/>
        <item x="512"/>
        <item x="352"/>
        <item x="589"/>
        <item x="606"/>
        <item x="459"/>
        <item x="453"/>
        <item x="566"/>
        <item x="542"/>
        <item x="558"/>
        <item x="443"/>
        <item x="498"/>
        <item x="530"/>
        <item x="340"/>
        <item x="599"/>
        <item x="491"/>
        <item x="505"/>
        <item x="519"/>
        <item x="518"/>
        <item x="551"/>
        <item x="526"/>
        <item x="164"/>
        <item x="120"/>
        <item x="162"/>
        <item x="602"/>
        <item x="347"/>
        <item x="342"/>
        <item x="281"/>
        <item x="101"/>
        <item x="548"/>
        <item x="221"/>
        <item x="71"/>
        <item x="317"/>
        <item x="446"/>
        <item x="497"/>
        <item x="42"/>
        <item x="333"/>
        <item x="6"/>
        <item x="389"/>
        <item x="16"/>
        <item x="330"/>
        <item x="521"/>
        <item x="55"/>
        <item x="175"/>
        <item x="226"/>
        <item x="563"/>
        <item x="301"/>
        <item x="170"/>
        <item x="105"/>
        <item x="353"/>
        <item x="277"/>
        <item x="163"/>
        <item x="316"/>
        <item x="22"/>
        <item x="52"/>
        <item x="136"/>
        <item x="123"/>
        <item x="32"/>
        <item x="268"/>
        <item x="323"/>
        <item x="540"/>
        <item x="134"/>
        <item x="514"/>
        <item x="92"/>
        <item x="325"/>
        <item x="276"/>
        <item x="98"/>
        <item x="541"/>
        <item x="11"/>
        <item x="477"/>
        <item x="354"/>
        <item x="481"/>
        <item x="382"/>
        <item x="288"/>
        <item x="411"/>
        <item x="516"/>
        <item x="230"/>
        <item x="318"/>
        <item x="218"/>
        <item x="225"/>
        <item x="228"/>
        <item x="358"/>
        <item x="213"/>
        <item x="90"/>
        <item x="173"/>
        <item x="507"/>
        <item x="169"/>
        <item x="524"/>
        <item x="43"/>
        <item x="362"/>
        <item x="250"/>
        <item x="143"/>
        <item x="274"/>
        <item x="556"/>
        <item x="58"/>
        <item x="240"/>
        <item x="442"/>
        <item x="210"/>
        <item x="137"/>
        <item x="360"/>
        <item x="364"/>
        <item x="88"/>
        <item x="313"/>
        <item x="229"/>
        <item x="365"/>
        <item x="586"/>
        <item x="139"/>
        <item x="102"/>
        <item x="222"/>
        <item x="403"/>
        <item x="290"/>
        <item x="284"/>
        <item x="25"/>
        <item x="220"/>
        <item x="562"/>
        <item x="176"/>
        <item x="445"/>
        <item x="280"/>
        <item x="380"/>
        <item x="339"/>
        <item x="49"/>
        <item x="51"/>
        <item x="116"/>
        <item x="570"/>
        <item x="3"/>
        <item x="19"/>
        <item x="327"/>
        <item x="99"/>
        <item x="399"/>
        <item x="500"/>
        <item x="407"/>
        <item x="167"/>
        <item x="253"/>
        <item x="363"/>
        <item x="174"/>
        <item x="257"/>
        <item x="80"/>
        <item x="263"/>
        <item x="75"/>
        <item x="286"/>
        <item x="578"/>
        <item x="107"/>
        <item x="585"/>
        <item x="571"/>
        <item x="533"/>
        <item x="502"/>
        <item x="59"/>
        <item x="326"/>
        <item x="23"/>
        <item x="307"/>
        <item x="31"/>
        <item x="373"/>
        <item x="404"/>
        <item x="349"/>
        <item x="390"/>
        <item x="91"/>
        <item x="397"/>
        <item x="368"/>
        <item x="242"/>
        <item x="322"/>
        <item x="243"/>
        <item x="577"/>
        <item x="262"/>
        <item x="223"/>
        <item x="117"/>
        <item x="495"/>
        <item x="555"/>
        <item x="372"/>
        <item x="285"/>
        <item x="355"/>
        <item x="124"/>
        <item x="119"/>
        <item x="525"/>
        <item x="486"/>
        <item x="104"/>
        <item x="255"/>
        <item x="476"/>
        <item x="493"/>
        <item x="106"/>
        <item x="319"/>
        <item x="303"/>
        <item x="269"/>
        <item x="488"/>
        <item x="171"/>
        <item x="306"/>
        <item x="166"/>
        <item x="231"/>
        <item x="82"/>
        <item x="594"/>
        <item x="227"/>
        <item x="224"/>
        <item x="53"/>
        <item x="386"/>
        <item x="595"/>
        <item x="617"/>
        <item x="74"/>
        <item x="266"/>
        <item x="208"/>
        <item x="369"/>
        <item x="357"/>
        <item x="359"/>
        <item x="557"/>
        <item x="5"/>
        <item x="2"/>
        <item x="283"/>
        <item x="67"/>
        <item x="480"/>
        <item x="305"/>
        <item x="142"/>
        <item x="199"/>
        <item x="310"/>
        <item x="114"/>
        <item x="17"/>
        <item x="328"/>
        <item x="46"/>
        <item x="103"/>
        <item x="41"/>
        <item x="37"/>
        <item x="72"/>
        <item x="249"/>
        <item x="256"/>
        <item x="96"/>
        <item x="209"/>
        <item x="76"/>
        <item x="508"/>
        <item x="482"/>
        <item x="367"/>
        <item x="444"/>
        <item x="321"/>
        <item x="258"/>
        <item x="400"/>
        <item x="79"/>
        <item x="172"/>
        <item x="294"/>
        <item x="620"/>
        <item x="600"/>
        <item x="21"/>
        <item x="336"/>
        <item x="546"/>
        <item x="616"/>
        <item x="510"/>
        <item x="604"/>
        <item x="543"/>
        <item x="147"/>
        <item x="293"/>
        <item x="94"/>
        <item x="320"/>
        <item x="385"/>
        <item x="150"/>
        <item x="149"/>
        <item x="291"/>
        <item x="112"/>
        <item x="454"/>
        <item x="185"/>
        <item x="186"/>
        <item x="205"/>
        <item x="195"/>
        <item x="189"/>
        <item x="177"/>
        <item x="182"/>
        <item t="default"/>
      </items>
    </pivotField>
    <pivotField showAll="0">
      <items count="93">
        <item x="19"/>
        <item x="63"/>
        <item x="50"/>
        <item x="24"/>
        <item x="6"/>
        <item x="11"/>
        <item x="18"/>
        <item x="68"/>
        <item x="15"/>
        <item x="2"/>
        <item x="59"/>
        <item x="21"/>
        <item x="67"/>
        <item x="32"/>
        <item x="60"/>
        <item x="12"/>
        <item x="66"/>
        <item x="0"/>
        <item x="53"/>
        <item x="64"/>
        <item x="86"/>
        <item x="56"/>
        <item x="43"/>
        <item x="49"/>
        <item x="48"/>
        <item x="14"/>
        <item x="44"/>
        <item x="1"/>
        <item x="54"/>
        <item x="91"/>
        <item x="37"/>
        <item x="90"/>
        <item x="89"/>
        <item x="46"/>
        <item x="61"/>
        <item x="13"/>
        <item x="58"/>
        <item x="57"/>
        <item x="34"/>
        <item x="27"/>
        <item x="88"/>
        <item x="87"/>
        <item x="25"/>
        <item x="70"/>
        <item x="3"/>
        <item x="81"/>
        <item x="82"/>
        <item x="85"/>
        <item x="75"/>
        <item x="38"/>
        <item x="7"/>
        <item x="79"/>
        <item x="52"/>
        <item x="20"/>
        <item x="72"/>
        <item x="5"/>
        <item x="65"/>
        <item x="40"/>
        <item x="41"/>
        <item x="36"/>
        <item x="8"/>
        <item x="84"/>
        <item x="16"/>
        <item x="69"/>
        <item x="77"/>
        <item x="22"/>
        <item x="4"/>
        <item x="73"/>
        <item x="26"/>
        <item x="28"/>
        <item x="33"/>
        <item x="71"/>
        <item x="29"/>
        <item x="80"/>
        <item x="9"/>
        <item x="23"/>
        <item x="35"/>
        <item x="31"/>
        <item x="74"/>
        <item x="76"/>
        <item x="30"/>
        <item x="47"/>
        <item x="62"/>
        <item x="17"/>
        <item x="42"/>
        <item x="39"/>
        <item x="51"/>
        <item x="45"/>
        <item x="83"/>
        <item x="10"/>
        <item x="78"/>
        <item x="55"/>
        <item t="default"/>
      </items>
    </pivotField>
    <pivotField showAll="0">
      <items count="4">
        <item x="1"/>
        <item x="0"/>
        <item x="2"/>
        <item t="default"/>
      </items>
    </pivotField>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Rent_USD" fld="8" subtotal="average" baseField="0" baseItem="0" numFmtId="164"/>
  </dataFields>
  <formats count="3">
    <format dxfId="31">
      <pivotArea outline="0" collapsedLevelsAreSubtotals="1" fieldPosition="0"/>
    </format>
    <format dxfId="30">
      <pivotArea dataOnly="0" labelOnly="1" outline="0" axis="axisValues" fieldPosition="0"/>
    </format>
    <format dxfId="2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22BA7DB-B70B-433C-A589-A8FEEA9F126E}"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8:C49" firstHeaderRow="1" firstDataRow="1" firstDataCol="0"/>
  <pivotFields count="14">
    <pivotField showAll="0">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pivotField>
    <pivotField showAll="0">
      <items count="557">
        <item x="254"/>
        <item x="81"/>
        <item x="43"/>
        <item x="163"/>
        <item x="190"/>
        <item x="357"/>
        <item x="464"/>
        <item x="68"/>
        <item x="367"/>
        <item x="387"/>
        <item x="531"/>
        <item x="372"/>
        <item x="515"/>
        <item x="555"/>
        <item x="361"/>
        <item x="465"/>
        <item x="490"/>
        <item x="6"/>
        <item x="536"/>
        <item x="324"/>
        <item x="19"/>
        <item x="488"/>
        <item x="339"/>
        <item x="332"/>
        <item x="431"/>
        <item x="77"/>
        <item x="208"/>
        <item x="381"/>
        <item x="123"/>
        <item x="243"/>
        <item x="20"/>
        <item x="16"/>
        <item x="21"/>
        <item x="279"/>
        <item x="230"/>
        <item x="90"/>
        <item x="392"/>
        <item x="42"/>
        <item x="548"/>
        <item x="124"/>
        <item x="53"/>
        <item x="399"/>
        <item x="33"/>
        <item x="195"/>
        <item x="12"/>
        <item x="460"/>
        <item x="105"/>
        <item x="502"/>
        <item x="396"/>
        <item x="246"/>
        <item x="48"/>
        <item x="52"/>
        <item x="156"/>
        <item x="418"/>
        <item x="302"/>
        <item x="101"/>
        <item x="454"/>
        <item x="257"/>
        <item x="384"/>
        <item x="298"/>
        <item x="234"/>
        <item x="149"/>
        <item x="414"/>
        <item x="30"/>
        <item x="95"/>
        <item x="277"/>
        <item x="407"/>
        <item x="84"/>
        <item x="262"/>
        <item x="228"/>
        <item x="22"/>
        <item x="203"/>
        <item x="18"/>
        <item x="405"/>
        <item x="385"/>
        <item x="323"/>
        <item x="131"/>
        <item x="520"/>
        <item x="486"/>
        <item x="335"/>
        <item x="15"/>
        <item x="468"/>
        <item x="130"/>
        <item x="118"/>
        <item x="393"/>
        <item x="0"/>
        <item x="358"/>
        <item x="36"/>
        <item x="480"/>
        <item x="129"/>
        <item x="104"/>
        <item x="415"/>
        <item x="430"/>
        <item x="533"/>
        <item x="319"/>
        <item x="170"/>
        <item x="364"/>
        <item x="177"/>
        <item x="356"/>
        <item x="89"/>
        <item x="458"/>
        <item x="350"/>
        <item x="489"/>
        <item x="506"/>
        <item x="273"/>
        <item x="390"/>
        <item x="275"/>
        <item x="186"/>
        <item x="233"/>
        <item x="182"/>
        <item x="411"/>
        <item x="481"/>
        <item x="11"/>
        <item x="432"/>
        <item x="236"/>
        <item x="187"/>
        <item x="215"/>
        <item x="417"/>
        <item x="475"/>
        <item x="445"/>
        <item x="546"/>
        <item x="171"/>
        <item x="46"/>
        <item x="547"/>
        <item x="83"/>
        <item x="74"/>
        <item x="474"/>
        <item x="97"/>
        <item x="217"/>
        <item x="326"/>
        <item x="34"/>
        <item x="359"/>
        <item x="419"/>
        <item x="239"/>
        <item x="541"/>
        <item x="498"/>
        <item x="408"/>
        <item x="532"/>
        <item x="320"/>
        <item x="78"/>
        <item x="125"/>
        <item x="14"/>
        <item x="456"/>
        <item x="199"/>
        <item x="276"/>
        <item x="92"/>
        <item x="188"/>
        <item x="40"/>
        <item x="136"/>
        <item x="137"/>
        <item x="263"/>
        <item x="391"/>
        <item x="331"/>
        <item x="245"/>
        <item x="194"/>
        <item x="197"/>
        <item x="441"/>
        <item x="282"/>
        <item x="437"/>
        <item x="303"/>
        <item x="373"/>
        <item x="232"/>
        <item x="87"/>
        <item x="159"/>
        <item x="382"/>
        <item x="62"/>
        <item x="286"/>
        <item x="447"/>
        <item x="184"/>
        <item x="45"/>
        <item x="406"/>
        <item x="155"/>
        <item x="325"/>
        <item x="455"/>
        <item x="366"/>
        <item x="260"/>
        <item x="41"/>
        <item x="70"/>
        <item x="274"/>
        <item x="307"/>
        <item x="290"/>
        <item x="219"/>
        <item x="147"/>
        <item x="138"/>
        <item x="296"/>
        <item x="167"/>
        <item x="467"/>
        <item x="172"/>
        <item x="337"/>
        <item x="398"/>
        <item x="108"/>
        <item x="80"/>
        <item x="106"/>
        <item x="165"/>
        <item x="86"/>
        <item x="341"/>
        <item x="370"/>
        <item x="507"/>
        <item x="32"/>
        <item x="56"/>
        <item x="299"/>
        <item x="201"/>
        <item x="269"/>
        <item x="67"/>
        <item x="495"/>
        <item x="135"/>
        <item x="71"/>
        <item x="24"/>
        <item x="267"/>
        <item x="209"/>
        <item x="369"/>
        <item x="401"/>
        <item x="175"/>
        <item x="305"/>
        <item x="309"/>
        <item x="477"/>
        <item x="511"/>
        <item x="120"/>
        <item x="127"/>
        <item x="328"/>
        <item x="132"/>
        <item x="539"/>
        <item x="85"/>
        <item x="268"/>
        <item x="540"/>
        <item x="483"/>
        <item x="258"/>
        <item x="66"/>
        <item x="379"/>
        <item x="82"/>
        <item x="283"/>
        <item x="416"/>
        <item x="344"/>
        <item x="334"/>
        <item x="352"/>
        <item x="210"/>
        <item x="198"/>
        <item x="516"/>
        <item x="360"/>
        <item x="514"/>
        <item x="220"/>
        <item x="402"/>
        <item x="310"/>
        <item x="65"/>
        <item x="259"/>
        <item x="349"/>
        <item x="404"/>
        <item x="517"/>
        <item x="526"/>
        <item x="389"/>
        <item x="264"/>
        <item x="47"/>
        <item x="542"/>
        <item x="472"/>
        <item x="265"/>
        <item x="499"/>
        <item x="500"/>
        <item x="59"/>
        <item x="497"/>
        <item x="446"/>
        <item x="436"/>
        <item x="134"/>
        <item x="206"/>
        <item x="261"/>
        <item x="434"/>
        <item x="154"/>
        <item x="98"/>
        <item x="191"/>
        <item x="143"/>
        <item x="315"/>
        <item x="322"/>
        <item x="346"/>
        <item x="150"/>
        <item x="425"/>
        <item x="427"/>
        <item x="237"/>
        <item x="278"/>
        <item x="295"/>
        <item x="25"/>
        <item x="231"/>
        <item x="189"/>
        <item x="501"/>
        <item x="410"/>
        <item x="482"/>
        <item x="1"/>
        <item x="107"/>
        <item x="180"/>
        <item x="202"/>
        <item x="336"/>
        <item x="161"/>
        <item x="158"/>
        <item x="37"/>
        <item x="386"/>
        <item x="508"/>
        <item x="256"/>
        <item x="146"/>
        <item x="139"/>
        <item x="93"/>
        <item x="287"/>
        <item x="553"/>
        <item x="409"/>
        <item x="478"/>
        <item x="461"/>
        <item x="49"/>
        <item x="376"/>
        <item x="509"/>
        <item x="444"/>
        <item x="545"/>
        <item x="519"/>
        <item x="238"/>
        <item x="388"/>
        <item x="543"/>
        <item x="550"/>
        <item x="3"/>
        <item x="453"/>
        <item x="311"/>
        <item x="122"/>
        <item x="54"/>
        <item x="96"/>
        <item x="342"/>
        <item x="544"/>
        <item x="440"/>
        <item x="223"/>
        <item x="351"/>
        <item x="291"/>
        <item x="462"/>
        <item x="153"/>
        <item x="221"/>
        <item x="121"/>
        <item x="492"/>
        <item x="355"/>
        <item x="4"/>
        <item x="60"/>
        <item x="375"/>
        <item x="528"/>
        <item x="166"/>
        <item x="308"/>
        <item x="91"/>
        <item x="160"/>
        <item x="178"/>
        <item x="126"/>
        <item x="72"/>
        <item x="148"/>
        <item x="421"/>
        <item x="140"/>
        <item x="554"/>
        <item x="518"/>
        <item x="214"/>
        <item x="103"/>
        <item x="525"/>
        <item x="510"/>
        <item x="330"/>
        <item x="248"/>
        <item x="524"/>
        <item x="473"/>
        <item x="58"/>
        <item x="442"/>
        <item x="57"/>
        <item x="23"/>
        <item x="457"/>
        <item x="252"/>
        <item x="31"/>
        <item x="216"/>
        <item x="318"/>
        <item x="280"/>
        <item x="466"/>
        <item x="449"/>
        <item x="8"/>
        <item x="294"/>
        <item x="493"/>
        <item x="333"/>
        <item x="538"/>
        <item x="69"/>
        <item x="88"/>
        <item x="365"/>
        <item x="340"/>
        <item x="313"/>
        <item x="116"/>
        <item x="452"/>
        <item x="471"/>
        <item x="211"/>
        <item x="174"/>
        <item x="371"/>
        <item x="241"/>
        <item x="272"/>
        <item x="363"/>
        <item x="212"/>
        <item x="400"/>
        <item x="28"/>
        <item x="227"/>
        <item x="179"/>
        <item x="301"/>
        <item x="450"/>
        <item x="374"/>
        <item x="110"/>
        <item x="204"/>
        <item x="306"/>
        <item x="459"/>
        <item x="424"/>
        <item x="522"/>
        <item x="185"/>
        <item x="377"/>
        <item x="192"/>
        <item x="368"/>
        <item x="112"/>
        <item x="151"/>
        <item x="383"/>
        <item x="314"/>
        <item x="469"/>
        <item x="435"/>
        <item x="354"/>
        <item x="485"/>
        <item x="133"/>
        <item x="288"/>
        <item x="439"/>
        <item x="253"/>
        <item x="353"/>
        <item x="55"/>
        <item x="205"/>
        <item x="494"/>
        <item x="327"/>
        <item x="484"/>
        <item x="317"/>
        <item x="523"/>
        <item x="470"/>
        <item x="378"/>
        <item x="300"/>
        <item x="348"/>
        <item x="512"/>
        <item x="38"/>
        <item x="235"/>
        <item x="321"/>
        <item x="521"/>
        <item x="443"/>
        <item x="505"/>
        <item x="513"/>
        <item x="537"/>
        <item x="429"/>
        <item x="423"/>
        <item x="119"/>
        <item x="63"/>
        <item x="114"/>
        <item x="39"/>
        <item x="413"/>
        <item x="61"/>
        <item x="13"/>
        <item x="297"/>
        <item x="426"/>
        <item x="552"/>
        <item x="164"/>
        <item x="362"/>
        <item x="100"/>
        <item x="128"/>
        <item x="115"/>
        <item x="527"/>
        <item x="491"/>
        <item x="7"/>
        <item x="266"/>
        <item x="242"/>
        <item x="463"/>
        <item x="380"/>
        <item x="529"/>
        <item x="433"/>
        <item x="102"/>
        <item x="428"/>
        <item x="157"/>
        <item x="113"/>
        <item x="29"/>
        <item x="251"/>
        <item x="10"/>
        <item x="152"/>
        <item x="200"/>
        <item x="79"/>
        <item x="534"/>
        <item x="226"/>
        <item x="76"/>
        <item x="403"/>
        <item x="196"/>
        <item x="193"/>
        <item x="176"/>
        <item x="207"/>
        <item x="51"/>
        <item x="530"/>
        <item x="329"/>
        <item x="535"/>
        <item x="551"/>
        <item x="549"/>
        <item x="27"/>
        <item x="487"/>
        <item x="247"/>
        <item x="451"/>
        <item x="504"/>
        <item x="503"/>
        <item x="26"/>
        <item x="94"/>
        <item x="289"/>
        <item x="225"/>
        <item x="316"/>
        <item x="141"/>
        <item x="395"/>
        <item x="496"/>
        <item x="5"/>
        <item x="338"/>
        <item x="229"/>
        <item x="2"/>
        <item x="145"/>
        <item x="75"/>
        <item x="476"/>
        <item x="224"/>
        <item x="249"/>
        <item x="244"/>
        <item x="438"/>
        <item x="64"/>
        <item x="420"/>
        <item x="293"/>
        <item x="250"/>
        <item x="173"/>
        <item x="213"/>
        <item x="281"/>
        <item x="271"/>
        <item x="181"/>
        <item x="117"/>
        <item x="142"/>
        <item x="285"/>
        <item x="255"/>
        <item x="292"/>
        <item x="50"/>
        <item x="479"/>
        <item x="347"/>
        <item x="109"/>
        <item x="17"/>
        <item x="284"/>
        <item x="304"/>
        <item x="144"/>
        <item x="412"/>
        <item x="44"/>
        <item x="99"/>
        <item x="240"/>
        <item x="35"/>
        <item x="270"/>
        <item x="183"/>
        <item x="218"/>
        <item x="222"/>
        <item x="111"/>
        <item x="162"/>
        <item x="73"/>
        <item x="394"/>
        <item x="168"/>
        <item x="345"/>
        <item x="169"/>
        <item x="343"/>
        <item x="397"/>
        <item x="448"/>
        <item x="422"/>
        <item x="312"/>
        <item x="9"/>
        <item t="default"/>
      </items>
    </pivotField>
    <pivotField dataField="1" showAll="0">
      <items count="623">
        <item x="603"/>
        <item x="160"/>
        <item x="158"/>
        <item x="45"/>
        <item x="299"/>
        <item x="178"/>
        <item x="511"/>
        <item x="591"/>
        <item x="460"/>
        <item x="474"/>
        <item x="424"/>
        <item x="610"/>
        <item x="426"/>
        <item x="396"/>
        <item x="419"/>
        <item x="461"/>
        <item x="494"/>
        <item x="135"/>
        <item x="130"/>
        <item x="568"/>
        <item x="520"/>
        <item x="420"/>
        <item x="388"/>
        <item x="596"/>
        <item x="279"/>
        <item x="553"/>
        <item x="545"/>
        <item x="344"/>
        <item x="97"/>
        <item x="239"/>
        <item x="440"/>
        <item x="377"/>
        <item x="296"/>
        <item x="583"/>
        <item x="38"/>
        <item x="334"/>
        <item x="449"/>
        <item x="549"/>
        <item x="537"/>
        <item x="559"/>
        <item x="464"/>
        <item x="125"/>
        <item x="469"/>
        <item x="234"/>
        <item x="378"/>
        <item x="580"/>
        <item x="547"/>
        <item x="504"/>
        <item x="410"/>
        <item x="108"/>
        <item x="121"/>
        <item x="371"/>
        <item x="324"/>
        <item x="478"/>
        <item x="77"/>
        <item x="28"/>
        <item x="414"/>
        <item x="196"/>
        <item x="197"/>
        <item x="129"/>
        <item x="204"/>
        <item x="192"/>
        <item x="131"/>
        <item x="132"/>
        <item x="246"/>
        <item x="567"/>
        <item x="487"/>
        <item x="113"/>
        <item x="248"/>
        <item x="402"/>
        <item x="473"/>
        <item x="592"/>
        <item x="193"/>
        <item x="95"/>
        <item x="219"/>
        <item x="501"/>
        <item x="384"/>
        <item x="168"/>
        <item x="57"/>
        <item x="401"/>
        <item x="527"/>
        <item x="34"/>
        <item x="9"/>
        <item x="472"/>
        <item x="593"/>
        <item x="270"/>
        <item x="579"/>
        <item x="375"/>
        <item x="54"/>
        <item x="180"/>
        <item x="441"/>
        <item x="457"/>
        <item x="466"/>
        <item x="20"/>
        <item x="381"/>
        <item x="515"/>
        <item x="275"/>
        <item x="161"/>
        <item x="73"/>
        <item x="575"/>
        <item x="203"/>
        <item x="190"/>
        <item x="0"/>
        <item x="490"/>
        <item x="398"/>
        <item x="140"/>
        <item x="33"/>
        <item x="232"/>
        <item x="70"/>
        <item x="24"/>
        <item x="65"/>
        <item x="544"/>
        <item x="273"/>
        <item x="458"/>
        <item x="561"/>
        <item x="413"/>
        <item x="417"/>
        <item x="428"/>
        <item x="438"/>
        <item x="422"/>
        <item x="432"/>
        <item x="612"/>
        <item x="598"/>
        <item x="1"/>
        <item x="201"/>
        <item x="44"/>
        <item x="565"/>
        <item x="165"/>
        <item x="159"/>
        <item x="451"/>
        <item x="463"/>
        <item x="483"/>
        <item x="534"/>
        <item x="572"/>
        <item x="608"/>
        <item x="295"/>
        <item x="597"/>
        <item x="383"/>
        <item x="448"/>
        <item x="78"/>
        <item x="350"/>
        <item x="408"/>
        <item x="93"/>
        <item x="48"/>
        <item x="69"/>
        <item x="335"/>
        <item x="391"/>
        <item x="241"/>
        <item x="605"/>
        <item x="415"/>
        <item x="576"/>
        <item x="418"/>
        <item x="574"/>
        <item x="601"/>
        <item x="621"/>
        <item x="138"/>
        <item x="217"/>
        <item x="251"/>
        <item x="85"/>
        <item x="68"/>
        <item x="188"/>
        <item x="10"/>
        <item x="18"/>
        <item x="560"/>
        <item x="532"/>
        <item x="61"/>
        <item x="194"/>
        <item x="64"/>
        <item x="259"/>
        <item x="237"/>
        <item x="260"/>
        <item x="115"/>
        <item x="528"/>
        <item x="552"/>
        <item x="536"/>
        <item x="289"/>
        <item x="89"/>
        <item x="148"/>
        <item x="337"/>
        <item x="329"/>
        <item x="338"/>
        <item x="300"/>
        <item x="470"/>
        <item x="233"/>
        <item x="39"/>
        <item x="315"/>
        <item x="456"/>
        <item x="450"/>
        <item x="569"/>
        <item x="144"/>
        <item x="434"/>
        <item x="609"/>
        <item x="331"/>
        <item x="287"/>
        <item x="252"/>
        <item x="111"/>
        <item x="118"/>
        <item x="468"/>
        <item x="379"/>
        <item x="30"/>
        <item x="517"/>
        <item x="484"/>
        <item x="264"/>
        <item x="370"/>
        <item x="126"/>
        <item x="611"/>
        <item x="62"/>
        <item x="588"/>
        <item x="183"/>
        <item x="151"/>
        <item x="27"/>
        <item x="128"/>
        <item x="492"/>
        <item x="513"/>
        <item x="506"/>
        <item x="499"/>
        <item x="7"/>
        <item x="214"/>
        <item x="509"/>
        <item x="110"/>
        <item x="312"/>
        <item x="282"/>
        <item x="245"/>
        <item x="309"/>
        <item x="387"/>
        <item x="298"/>
        <item x="314"/>
        <item x="156"/>
        <item x="36"/>
        <item x="47"/>
        <item x="155"/>
        <item x="584"/>
        <item x="211"/>
        <item x="216"/>
        <item x="60"/>
        <item x="471"/>
        <item x="247"/>
        <item x="179"/>
        <item x="531"/>
        <item x="56"/>
        <item x="348"/>
        <item x="455"/>
        <item x="429"/>
        <item x="292"/>
        <item x="200"/>
        <item x="423"/>
        <item x="206"/>
        <item x="489"/>
        <item x="485"/>
        <item x="412"/>
        <item x="212"/>
        <item x="15"/>
        <item x="550"/>
        <item x="235"/>
        <item x="254"/>
        <item x="109"/>
        <item x="265"/>
        <item x="145"/>
        <item x="436"/>
        <item x="452"/>
        <item x="267"/>
        <item x="308"/>
        <item x="236"/>
        <item x="529"/>
        <item x="582"/>
        <item x="84"/>
        <item x="462"/>
        <item x="405"/>
        <item x="573"/>
        <item x="343"/>
        <item x="406"/>
        <item x="13"/>
        <item x="181"/>
        <item x="564"/>
        <item x="587"/>
        <item x="187"/>
        <item x="435"/>
        <item x="152"/>
        <item x="425"/>
        <item x="154"/>
        <item x="157"/>
        <item x="523"/>
        <item x="8"/>
        <item x="271"/>
        <item x="409"/>
        <item x="29"/>
        <item x="184"/>
        <item x="191"/>
        <item x="202"/>
        <item x="433"/>
        <item x="590"/>
        <item x="133"/>
        <item x="153"/>
        <item x="238"/>
        <item x="394"/>
        <item x="615"/>
        <item x="302"/>
        <item x="297"/>
        <item x="374"/>
        <item x="311"/>
        <item x="4"/>
        <item x="539"/>
        <item x="346"/>
        <item x="361"/>
        <item x="26"/>
        <item x="215"/>
        <item x="439"/>
        <item x="146"/>
        <item x="63"/>
        <item x="66"/>
        <item x="395"/>
        <item x="467"/>
        <item x="14"/>
        <item x="12"/>
        <item x="87"/>
        <item x="86"/>
        <item x="35"/>
        <item x="81"/>
        <item x="141"/>
        <item x="345"/>
        <item x="83"/>
        <item x="272"/>
        <item x="341"/>
        <item x="430"/>
        <item x="376"/>
        <item x="50"/>
        <item x="278"/>
        <item x="100"/>
        <item x="40"/>
        <item x="207"/>
        <item x="393"/>
        <item x="503"/>
        <item x="479"/>
        <item x="356"/>
        <item x="437"/>
        <item x="427"/>
        <item x="421"/>
        <item x="431"/>
        <item x="465"/>
        <item x="304"/>
        <item x="618"/>
        <item x="122"/>
        <item x="614"/>
        <item x="198"/>
        <item x="244"/>
        <item x="392"/>
        <item x="332"/>
        <item x="619"/>
        <item x="127"/>
        <item x="261"/>
        <item x="416"/>
        <item x="607"/>
        <item x="366"/>
        <item x="538"/>
        <item x="496"/>
        <item x="447"/>
        <item x="475"/>
        <item x="535"/>
        <item x="613"/>
        <item x="351"/>
        <item x="522"/>
        <item x="581"/>
        <item x="554"/>
        <item x="512"/>
        <item x="352"/>
        <item x="589"/>
        <item x="606"/>
        <item x="459"/>
        <item x="453"/>
        <item x="566"/>
        <item x="542"/>
        <item x="558"/>
        <item x="443"/>
        <item x="498"/>
        <item x="530"/>
        <item x="340"/>
        <item x="599"/>
        <item x="491"/>
        <item x="505"/>
        <item x="519"/>
        <item x="518"/>
        <item x="551"/>
        <item x="526"/>
        <item x="164"/>
        <item x="120"/>
        <item x="162"/>
        <item x="602"/>
        <item x="347"/>
        <item x="342"/>
        <item x="281"/>
        <item x="101"/>
        <item x="548"/>
        <item x="221"/>
        <item x="71"/>
        <item x="317"/>
        <item x="446"/>
        <item x="497"/>
        <item x="42"/>
        <item x="333"/>
        <item x="6"/>
        <item x="389"/>
        <item x="16"/>
        <item x="330"/>
        <item x="521"/>
        <item x="55"/>
        <item x="175"/>
        <item x="226"/>
        <item x="563"/>
        <item x="301"/>
        <item x="170"/>
        <item x="105"/>
        <item x="353"/>
        <item x="277"/>
        <item x="163"/>
        <item x="316"/>
        <item x="22"/>
        <item x="52"/>
        <item x="136"/>
        <item x="123"/>
        <item x="32"/>
        <item x="268"/>
        <item x="323"/>
        <item x="540"/>
        <item x="134"/>
        <item x="514"/>
        <item x="92"/>
        <item x="325"/>
        <item x="276"/>
        <item x="98"/>
        <item x="541"/>
        <item x="11"/>
        <item x="477"/>
        <item x="354"/>
        <item x="481"/>
        <item x="382"/>
        <item x="288"/>
        <item x="411"/>
        <item x="516"/>
        <item x="230"/>
        <item x="318"/>
        <item x="218"/>
        <item x="225"/>
        <item x="228"/>
        <item x="358"/>
        <item x="213"/>
        <item x="90"/>
        <item x="173"/>
        <item x="507"/>
        <item x="169"/>
        <item x="524"/>
        <item x="43"/>
        <item x="362"/>
        <item x="250"/>
        <item x="143"/>
        <item x="274"/>
        <item x="556"/>
        <item x="58"/>
        <item x="240"/>
        <item x="442"/>
        <item x="210"/>
        <item x="137"/>
        <item x="360"/>
        <item x="364"/>
        <item x="88"/>
        <item x="313"/>
        <item x="229"/>
        <item x="365"/>
        <item x="586"/>
        <item x="139"/>
        <item x="102"/>
        <item x="222"/>
        <item x="403"/>
        <item x="290"/>
        <item x="284"/>
        <item x="25"/>
        <item x="220"/>
        <item x="562"/>
        <item x="176"/>
        <item x="445"/>
        <item x="280"/>
        <item x="380"/>
        <item x="339"/>
        <item x="49"/>
        <item x="51"/>
        <item x="116"/>
        <item x="570"/>
        <item x="3"/>
        <item x="19"/>
        <item x="327"/>
        <item x="99"/>
        <item x="399"/>
        <item x="500"/>
        <item x="407"/>
        <item x="167"/>
        <item x="253"/>
        <item x="363"/>
        <item x="174"/>
        <item x="257"/>
        <item x="80"/>
        <item x="263"/>
        <item x="75"/>
        <item x="286"/>
        <item x="578"/>
        <item x="107"/>
        <item x="585"/>
        <item x="571"/>
        <item x="533"/>
        <item x="502"/>
        <item x="59"/>
        <item x="326"/>
        <item x="23"/>
        <item x="307"/>
        <item x="31"/>
        <item x="373"/>
        <item x="404"/>
        <item x="349"/>
        <item x="390"/>
        <item x="91"/>
        <item x="397"/>
        <item x="368"/>
        <item x="242"/>
        <item x="322"/>
        <item x="243"/>
        <item x="577"/>
        <item x="262"/>
        <item x="223"/>
        <item x="117"/>
        <item x="495"/>
        <item x="555"/>
        <item x="372"/>
        <item x="285"/>
        <item x="355"/>
        <item x="124"/>
        <item x="119"/>
        <item x="525"/>
        <item x="486"/>
        <item x="104"/>
        <item x="255"/>
        <item x="476"/>
        <item x="493"/>
        <item x="106"/>
        <item x="319"/>
        <item x="303"/>
        <item x="269"/>
        <item x="488"/>
        <item x="171"/>
        <item x="306"/>
        <item x="166"/>
        <item x="231"/>
        <item x="82"/>
        <item x="594"/>
        <item x="227"/>
        <item x="224"/>
        <item x="53"/>
        <item x="386"/>
        <item x="595"/>
        <item x="617"/>
        <item x="74"/>
        <item x="266"/>
        <item x="208"/>
        <item x="369"/>
        <item x="357"/>
        <item x="359"/>
        <item x="557"/>
        <item x="5"/>
        <item x="2"/>
        <item x="283"/>
        <item x="67"/>
        <item x="480"/>
        <item x="305"/>
        <item x="142"/>
        <item x="199"/>
        <item x="310"/>
        <item x="114"/>
        <item x="17"/>
        <item x="328"/>
        <item x="46"/>
        <item x="103"/>
        <item x="41"/>
        <item x="37"/>
        <item x="72"/>
        <item x="249"/>
        <item x="256"/>
        <item x="96"/>
        <item x="209"/>
        <item x="76"/>
        <item x="508"/>
        <item x="482"/>
        <item x="367"/>
        <item x="444"/>
        <item x="321"/>
        <item x="258"/>
        <item x="400"/>
        <item x="79"/>
        <item x="172"/>
        <item x="294"/>
        <item x="620"/>
        <item x="600"/>
        <item x="21"/>
        <item x="336"/>
        <item x="546"/>
        <item x="616"/>
        <item x="510"/>
        <item x="604"/>
        <item x="543"/>
        <item x="147"/>
        <item x="293"/>
        <item x="94"/>
        <item x="320"/>
        <item x="385"/>
        <item x="150"/>
        <item x="149"/>
        <item x="291"/>
        <item x="112"/>
        <item x="454"/>
        <item x="185"/>
        <item x="186"/>
        <item x="205"/>
        <item x="195"/>
        <item x="189"/>
        <item x="177"/>
        <item x="182"/>
        <item t="default"/>
      </items>
    </pivotField>
    <pivotField showAll="0">
      <items count="93">
        <item x="19"/>
        <item x="63"/>
        <item x="50"/>
        <item x="24"/>
        <item x="6"/>
        <item x="11"/>
        <item x="18"/>
        <item x="68"/>
        <item x="15"/>
        <item x="2"/>
        <item x="59"/>
        <item x="21"/>
        <item x="67"/>
        <item x="32"/>
        <item x="60"/>
        <item x="12"/>
        <item x="66"/>
        <item x="0"/>
        <item x="53"/>
        <item x="64"/>
        <item x="86"/>
        <item x="56"/>
        <item x="43"/>
        <item x="49"/>
        <item x="48"/>
        <item x="14"/>
        <item x="44"/>
        <item x="1"/>
        <item x="54"/>
        <item x="91"/>
        <item x="37"/>
        <item x="90"/>
        <item x="89"/>
        <item x="46"/>
        <item x="61"/>
        <item x="13"/>
        <item x="58"/>
        <item x="57"/>
        <item x="34"/>
        <item x="27"/>
        <item x="88"/>
        <item x="87"/>
        <item x="25"/>
        <item x="70"/>
        <item x="3"/>
        <item x="81"/>
        <item x="82"/>
        <item x="85"/>
        <item x="75"/>
        <item x="38"/>
        <item x="7"/>
        <item x="79"/>
        <item x="52"/>
        <item x="20"/>
        <item x="72"/>
        <item x="5"/>
        <item x="65"/>
        <item x="40"/>
        <item x="41"/>
        <item x="36"/>
        <item x="8"/>
        <item x="84"/>
        <item x="16"/>
        <item x="69"/>
        <item x="77"/>
        <item x="22"/>
        <item x="4"/>
        <item x="73"/>
        <item x="26"/>
        <item x="28"/>
        <item x="33"/>
        <item x="71"/>
        <item x="29"/>
        <item x="80"/>
        <item x="9"/>
        <item x="23"/>
        <item x="35"/>
        <item x="31"/>
        <item x="74"/>
        <item x="76"/>
        <item x="30"/>
        <item x="47"/>
        <item x="62"/>
        <item x="17"/>
        <item x="42"/>
        <item x="39"/>
        <item x="51"/>
        <item x="45"/>
        <item x="83"/>
        <item x="10"/>
        <item x="78"/>
        <item x="55"/>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University" fld="2" subtotal="count" baseField="0" baseItem="1" numFmtId="1"/>
  </dataFields>
  <formats count="3">
    <format dxfId="34">
      <pivotArea outline="0" collapsedLevelsAreSubtotals="1" fieldPosition="0"/>
    </format>
    <format dxfId="33">
      <pivotArea dataOnly="0" labelOnly="1" outline="0" axis="axisValues" fieldPosition="0"/>
    </format>
    <format dxfId="3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93</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A2880D8-1F25-4358-B753-E8B8492DEE1E}" sourceName="Country">
  <pivotTables>
    <pivotTable tabId="4" name="PivotTable3"/>
    <pivotTable tabId="4" name="PivotTable18"/>
    <pivotTable tabId="4" name="PivotTable29"/>
    <pivotTable tabId="4" name="PivotTable30"/>
    <pivotTable tabId="4" name="PivotTable31"/>
    <pivotTable tabId="4" name="PivotTable32"/>
    <pivotTable tabId="4" name="PivotTable33"/>
    <pivotTable tabId="4" name="PivotTable1"/>
    <pivotTable tabId="4" name="PivotTable2"/>
    <pivotTable tabId="4" name="PivotTable4"/>
    <pivotTable tabId="4" name="PivotTable5"/>
    <pivotTable tabId="4" name="PivotTable6"/>
    <pivotTable tabId="4" name="PivotTable7"/>
    <pivotTable tabId="4" name="PivotTable8"/>
    <pivotTable tabId="4" name="PivotTable9"/>
  </pivotTables>
  <data>
    <tabular pivotCacheId="2067268814">
      <items count="71">
        <i x="61" s="1"/>
        <i x="39" s="1"/>
        <i x="3" s="1"/>
        <i x="16" s="1"/>
        <i x="57" s="1"/>
        <i x="63" s="1"/>
        <i x="17" s="1"/>
        <i x="30" s="1"/>
        <i x="59" s="1"/>
        <i x="2" s="1"/>
        <i x="12" s="1"/>
        <i x="46" s="1"/>
        <i x="51" s="1"/>
        <i x="50" s="1"/>
        <i x="22" s="1"/>
        <i x="11" s="1"/>
        <i x="52" s="1"/>
        <i x="55" s="1"/>
        <i x="38" s="1"/>
        <i x="70" s="1"/>
        <i x="28" s="1"/>
        <i x="8" s="1"/>
        <i x="4" s="1"/>
        <i x="60" s="1"/>
        <i x="34" s="1"/>
        <i x="18" s="1"/>
        <i x="44" s="1"/>
        <i x="45" s="1"/>
        <i x="23" s="1"/>
        <i x="40" s="1"/>
        <i x="68" s="1"/>
        <i x="14" s="1"/>
        <i x="20" s="1"/>
        <i x="27" s="1"/>
        <i x="5" s="1"/>
        <i x="64" s="1"/>
        <i x="56" s="1"/>
        <i x="48" s="1"/>
        <i x="25" s="1"/>
        <i x="33" s="1"/>
        <i x="53" s="1"/>
        <i x="6" s="1"/>
        <i x="15" s="1"/>
        <i x="42" s="1"/>
        <i x="29" s="1"/>
        <i x="62" s="1"/>
        <i x="54" s="1"/>
        <i x="24" s="1"/>
        <i x="19" s="1"/>
        <i x="47" s="1"/>
        <i x="32" s="1"/>
        <i x="41" s="1"/>
        <i x="67" s="1"/>
        <i x="7" s="1"/>
        <i x="66" s="1"/>
        <i x="37" s="1"/>
        <i x="13" s="1"/>
        <i x="26" s="1"/>
        <i x="10" s="1"/>
        <i x="9" s="1"/>
        <i x="21" s="1"/>
        <i x="35" s="1"/>
        <i x="49" s="1"/>
        <i x="31" s="1"/>
        <i x="36" s="1"/>
        <i x="1" s="1"/>
        <i x="65" s="1"/>
        <i x="58" s="1"/>
        <i x="0" s="1"/>
        <i x="69" s="1"/>
        <i x="4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 xr10:uid="{C610DCA3-A778-4D4F-94C6-4E7DB7434CAA}" sourceName="Program">
  <pivotTables>
    <pivotTable tabId="4" name="PivotTable3"/>
    <pivotTable tabId="4" name="PivotTable18"/>
    <pivotTable tabId="4" name="PivotTable29"/>
    <pivotTable tabId="4" name="PivotTable30"/>
    <pivotTable tabId="4" name="PivotTable31"/>
    <pivotTable tabId="4" name="PivotTable32"/>
    <pivotTable tabId="4" name="PivotTable33"/>
    <pivotTable tabId="4" name="PivotTable1"/>
    <pivotTable tabId="4" name="PivotTable2"/>
    <pivotTable tabId="4" name="PivotTable4"/>
    <pivotTable tabId="4" name="PivotTable5"/>
    <pivotTable tabId="4" name="PivotTable6"/>
    <pivotTable tabId="4" name="PivotTable7"/>
    <pivotTable tabId="4" name="PivotTable8"/>
    <pivotTable tabId="4" name="PivotTable9"/>
  </pivotTables>
  <data>
    <tabular pivotCacheId="2067268814">
      <items count="92">
        <i x="19" s="1"/>
        <i x="63" s="1"/>
        <i x="50" s="1"/>
        <i x="24" s="1"/>
        <i x="6" s="1"/>
        <i x="11" s="1"/>
        <i x="18" s="1"/>
        <i x="68" s="1"/>
        <i x="15" s="1"/>
        <i x="2" s="1"/>
        <i x="59" s="1"/>
        <i x="21" s="1"/>
        <i x="67" s="1"/>
        <i x="32" s="1"/>
        <i x="60" s="1"/>
        <i x="12" s="1"/>
        <i x="66" s="1"/>
        <i x="0" s="1"/>
        <i x="53" s="1"/>
        <i x="64" s="1"/>
        <i x="86" s="1"/>
        <i x="56" s="1"/>
        <i x="43" s="1"/>
        <i x="49" s="1"/>
        <i x="48" s="1"/>
        <i x="14" s="1"/>
        <i x="44" s="1"/>
        <i x="1" s="1"/>
        <i x="54" s="1"/>
        <i x="91" s="1"/>
        <i x="37" s="1"/>
        <i x="90" s="1"/>
        <i x="89" s="1"/>
        <i x="46" s="1"/>
        <i x="61" s="1"/>
        <i x="13" s="1"/>
        <i x="58" s="1"/>
        <i x="57" s="1"/>
        <i x="34" s="1"/>
        <i x="27" s="1"/>
        <i x="88" s="1"/>
        <i x="87" s="1"/>
        <i x="25" s="1"/>
        <i x="70" s="1"/>
        <i x="3" s="1"/>
        <i x="81" s="1"/>
        <i x="82" s="1"/>
        <i x="85" s="1"/>
        <i x="75" s="1"/>
        <i x="38" s="1"/>
        <i x="7" s="1"/>
        <i x="79" s="1"/>
        <i x="52" s="1"/>
        <i x="20" s="1"/>
        <i x="72" s="1"/>
        <i x="5" s="1"/>
        <i x="65" s="1"/>
        <i x="40" s="1"/>
        <i x="41" s="1"/>
        <i x="36" s="1"/>
        <i x="8" s="1"/>
        <i x="84" s="1"/>
        <i x="16" s="1"/>
        <i x="69" s="1"/>
        <i x="77" s="1"/>
        <i x="22" s="1"/>
        <i x="4" s="1"/>
        <i x="73" s="1"/>
        <i x="26" s="1"/>
        <i x="28" s="1"/>
        <i x="33" s="1"/>
        <i x="71" s="1"/>
        <i x="29" s="1"/>
        <i x="80" s="1"/>
        <i x="9" s="1"/>
        <i x="23" s="1"/>
        <i x="35" s="1"/>
        <i x="31" s="1"/>
        <i x="74" s="1"/>
        <i x="76" s="1"/>
        <i x="30" s="1"/>
        <i x="47" s="1"/>
        <i x="62" s="1"/>
        <i x="17" s="1"/>
        <i x="42" s="1"/>
        <i x="39" s="1"/>
        <i x="51" s="1"/>
        <i x="45" s="1"/>
        <i x="83" s="1"/>
        <i x="10" s="1"/>
        <i x="78" s="1"/>
        <i x="5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11B17131-AE72-4157-85AB-BE2BA4339BB3}" sourceName="Level">
  <pivotTables>
    <pivotTable tabId="4" name="PivotTable3"/>
    <pivotTable tabId="4" name="PivotTable18"/>
    <pivotTable tabId="4" name="PivotTable29"/>
    <pivotTable tabId="4" name="PivotTable30"/>
    <pivotTable tabId="4" name="PivotTable31"/>
    <pivotTable tabId="4" name="PivotTable32"/>
    <pivotTable tabId="4" name="PivotTable33"/>
    <pivotTable tabId="4" name="PivotTable1"/>
    <pivotTable tabId="4" name="PivotTable2"/>
    <pivotTable tabId="4" name="PivotTable4"/>
    <pivotTable tabId="4" name="PivotTable5"/>
    <pivotTable tabId="4" name="PivotTable6"/>
    <pivotTable tabId="4" name="PivotTable7"/>
    <pivotTable tabId="4" name="PivotTable8"/>
    <pivotTable tabId="4" name="PivotTable9"/>
  </pivotTables>
  <data>
    <tabular pivotCacheId="2067268814">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versity" xr10:uid="{19B342C0-DA30-453C-87B2-E373F6A4B56F}" sourceName="University">
  <pivotTables>
    <pivotTable tabId="4" name="PivotTable3"/>
    <pivotTable tabId="4" name="PivotTable18"/>
    <pivotTable tabId="4" name="PivotTable29"/>
    <pivotTable tabId="4" name="PivotTable30"/>
    <pivotTable tabId="4" name="PivotTable31"/>
    <pivotTable tabId="4" name="PivotTable32"/>
    <pivotTable tabId="4" name="PivotTable33"/>
    <pivotTable tabId="4" name="PivotTable1"/>
    <pivotTable tabId="4" name="PivotTable2"/>
    <pivotTable tabId="4" name="PivotTable4"/>
    <pivotTable tabId="4" name="PivotTable5"/>
    <pivotTable tabId="4" name="PivotTable6"/>
    <pivotTable tabId="4" name="PivotTable7"/>
    <pivotTable tabId="4" name="PivotTable8"/>
    <pivotTable tabId="4" name="PivotTable9"/>
  </pivotTables>
  <data>
    <tabular pivotCacheId="2067268814">
      <items count="622">
        <i x="603" s="1"/>
        <i x="160" s="1"/>
        <i x="158" s="1"/>
        <i x="45" s="1"/>
        <i x="299" s="1"/>
        <i x="178" s="1"/>
        <i x="511" s="1"/>
        <i x="591" s="1"/>
        <i x="460" s="1"/>
        <i x="474" s="1"/>
        <i x="424" s="1"/>
        <i x="610" s="1"/>
        <i x="426" s="1"/>
        <i x="396" s="1"/>
        <i x="419" s="1"/>
        <i x="461" s="1"/>
        <i x="494" s="1"/>
        <i x="135" s="1"/>
        <i x="130" s="1"/>
        <i x="568" s="1"/>
        <i x="520" s="1"/>
        <i x="420" s="1"/>
        <i x="388" s="1"/>
        <i x="596" s="1"/>
        <i x="279" s="1"/>
        <i x="553" s="1"/>
        <i x="545" s="1"/>
        <i x="344" s="1"/>
        <i x="97" s="1"/>
        <i x="239" s="1"/>
        <i x="440" s="1"/>
        <i x="377" s="1"/>
        <i x="296" s="1"/>
        <i x="583" s="1"/>
        <i x="38" s="1"/>
        <i x="334" s="1"/>
        <i x="449" s="1"/>
        <i x="549" s="1"/>
        <i x="537" s="1"/>
        <i x="559" s="1"/>
        <i x="464" s="1"/>
        <i x="125" s="1"/>
        <i x="469" s="1"/>
        <i x="234" s="1"/>
        <i x="378" s="1"/>
        <i x="580" s="1"/>
        <i x="547" s="1"/>
        <i x="504" s="1"/>
        <i x="410" s="1"/>
        <i x="108" s="1"/>
        <i x="121" s="1"/>
        <i x="371" s="1"/>
        <i x="324" s="1"/>
        <i x="478" s="1"/>
        <i x="77" s="1"/>
        <i x="28" s="1"/>
        <i x="414" s="1"/>
        <i x="196" s="1"/>
        <i x="197" s="1"/>
        <i x="129" s="1"/>
        <i x="204" s="1"/>
        <i x="192" s="1"/>
        <i x="131" s="1"/>
        <i x="132" s="1"/>
        <i x="246" s="1"/>
        <i x="567" s="1"/>
        <i x="487" s="1"/>
        <i x="113" s="1"/>
        <i x="248" s="1"/>
        <i x="402" s="1"/>
        <i x="473" s="1"/>
        <i x="592" s="1"/>
        <i x="193" s="1"/>
        <i x="95" s="1"/>
        <i x="219" s="1"/>
        <i x="501" s="1"/>
        <i x="384" s="1"/>
        <i x="168" s="1"/>
        <i x="57" s="1"/>
        <i x="401" s="1"/>
        <i x="527" s="1"/>
        <i x="34" s="1"/>
        <i x="9" s="1"/>
        <i x="472" s="1"/>
        <i x="593" s="1"/>
        <i x="270" s="1"/>
        <i x="579" s="1"/>
        <i x="375" s="1"/>
        <i x="54" s="1"/>
        <i x="180" s="1"/>
        <i x="441" s="1"/>
        <i x="457" s="1"/>
        <i x="466" s="1"/>
        <i x="20" s="1"/>
        <i x="381" s="1"/>
        <i x="515" s="1"/>
        <i x="275" s="1"/>
        <i x="161" s="1"/>
        <i x="73" s="1"/>
        <i x="575" s="1"/>
        <i x="203" s="1"/>
        <i x="190" s="1"/>
        <i x="0" s="1"/>
        <i x="490" s="1"/>
        <i x="398" s="1"/>
        <i x="140" s="1"/>
        <i x="33" s="1"/>
        <i x="232" s="1"/>
        <i x="70" s="1"/>
        <i x="24" s="1"/>
        <i x="65" s="1"/>
        <i x="544" s="1"/>
        <i x="273" s="1"/>
        <i x="458" s="1"/>
        <i x="561" s="1"/>
        <i x="413" s="1"/>
        <i x="417" s="1"/>
        <i x="428" s="1"/>
        <i x="438" s="1"/>
        <i x="422" s="1"/>
        <i x="432" s="1"/>
        <i x="612" s="1"/>
        <i x="598" s="1"/>
        <i x="1" s="1"/>
        <i x="201" s="1"/>
        <i x="44" s="1"/>
        <i x="565" s="1"/>
        <i x="165" s="1"/>
        <i x="159" s="1"/>
        <i x="451" s="1"/>
        <i x="463" s="1"/>
        <i x="483" s="1"/>
        <i x="534" s="1"/>
        <i x="572" s="1"/>
        <i x="608" s="1"/>
        <i x="295" s="1"/>
        <i x="597" s="1"/>
        <i x="383" s="1"/>
        <i x="448" s="1"/>
        <i x="78" s="1"/>
        <i x="350" s="1"/>
        <i x="408" s="1"/>
        <i x="93" s="1"/>
        <i x="48" s="1"/>
        <i x="69" s="1"/>
        <i x="335" s="1"/>
        <i x="391" s="1"/>
        <i x="241" s="1"/>
        <i x="605" s="1"/>
        <i x="415" s="1"/>
        <i x="576" s="1"/>
        <i x="418" s="1"/>
        <i x="574" s="1"/>
        <i x="601" s="1"/>
        <i x="621" s="1"/>
        <i x="138" s="1"/>
        <i x="217" s="1"/>
        <i x="251" s="1"/>
        <i x="85" s="1"/>
        <i x="68" s="1"/>
        <i x="188" s="1"/>
        <i x="10" s="1"/>
        <i x="18" s="1"/>
        <i x="560" s="1"/>
        <i x="532" s="1"/>
        <i x="61" s="1"/>
        <i x="194" s="1"/>
        <i x="64" s="1"/>
        <i x="259" s="1"/>
        <i x="237" s="1"/>
        <i x="260" s="1"/>
        <i x="115" s="1"/>
        <i x="528" s="1"/>
        <i x="552" s="1"/>
        <i x="536" s="1"/>
        <i x="289" s="1"/>
        <i x="89" s="1"/>
        <i x="148" s="1"/>
        <i x="337" s="1"/>
        <i x="329" s="1"/>
        <i x="338" s="1"/>
        <i x="300" s="1"/>
        <i x="470" s="1"/>
        <i x="233" s="1"/>
        <i x="39" s="1"/>
        <i x="315" s="1"/>
        <i x="456" s="1"/>
        <i x="450" s="1"/>
        <i x="569" s="1"/>
        <i x="144" s="1"/>
        <i x="434" s="1"/>
        <i x="609" s="1"/>
        <i x="331" s="1"/>
        <i x="287" s="1"/>
        <i x="252" s="1"/>
        <i x="111" s="1"/>
        <i x="118" s="1"/>
        <i x="468" s="1"/>
        <i x="379" s="1"/>
        <i x="30" s="1"/>
        <i x="517" s="1"/>
        <i x="484" s="1"/>
        <i x="264" s="1"/>
        <i x="370" s="1"/>
        <i x="126" s="1"/>
        <i x="611" s="1"/>
        <i x="62" s="1"/>
        <i x="588" s="1"/>
        <i x="183" s="1"/>
        <i x="151" s="1"/>
        <i x="27" s="1"/>
        <i x="128" s="1"/>
        <i x="492" s="1"/>
        <i x="513" s="1"/>
        <i x="506" s="1"/>
        <i x="499" s="1"/>
        <i x="7" s="1"/>
        <i x="214" s="1"/>
        <i x="509" s="1"/>
        <i x="110" s="1"/>
        <i x="312" s="1"/>
        <i x="282" s="1"/>
        <i x="245" s="1"/>
        <i x="309" s="1"/>
        <i x="387" s="1"/>
        <i x="298" s="1"/>
        <i x="314" s="1"/>
        <i x="156" s="1"/>
        <i x="36" s="1"/>
        <i x="47" s="1"/>
        <i x="155" s="1"/>
        <i x="584" s="1"/>
        <i x="211" s="1"/>
        <i x="216" s="1"/>
        <i x="60" s="1"/>
        <i x="471" s="1"/>
        <i x="247" s="1"/>
        <i x="179" s="1"/>
        <i x="531" s="1"/>
        <i x="56" s="1"/>
        <i x="348" s="1"/>
        <i x="455" s="1"/>
        <i x="429" s="1"/>
        <i x="292" s="1"/>
        <i x="200" s="1"/>
        <i x="423" s="1"/>
        <i x="206" s="1"/>
        <i x="489" s="1"/>
        <i x="485" s="1"/>
        <i x="412" s="1"/>
        <i x="212" s="1"/>
        <i x="15" s="1"/>
        <i x="550" s="1"/>
        <i x="235" s="1"/>
        <i x="254" s="1"/>
        <i x="109" s="1"/>
        <i x="265" s="1"/>
        <i x="145" s="1"/>
        <i x="436" s="1"/>
        <i x="452" s="1"/>
        <i x="267" s="1"/>
        <i x="308" s="1"/>
        <i x="236" s="1"/>
        <i x="529" s="1"/>
        <i x="582" s="1"/>
        <i x="84" s="1"/>
        <i x="462" s="1"/>
        <i x="405" s="1"/>
        <i x="573" s="1"/>
        <i x="343" s="1"/>
        <i x="406" s="1"/>
        <i x="13" s="1"/>
        <i x="181" s="1"/>
        <i x="564" s="1"/>
        <i x="587" s="1"/>
        <i x="187" s="1"/>
        <i x="435" s="1"/>
        <i x="152" s="1"/>
        <i x="425" s="1"/>
        <i x="154" s="1"/>
        <i x="157" s="1"/>
        <i x="523" s="1"/>
        <i x="8" s="1"/>
        <i x="271" s="1"/>
        <i x="409" s="1"/>
        <i x="29" s="1"/>
        <i x="184" s="1"/>
        <i x="191" s="1"/>
        <i x="202" s="1"/>
        <i x="433" s="1"/>
        <i x="590" s="1"/>
        <i x="133" s="1"/>
        <i x="153" s="1"/>
        <i x="238" s="1"/>
        <i x="394" s="1"/>
        <i x="615" s="1"/>
        <i x="302" s="1"/>
        <i x="297" s="1"/>
        <i x="374" s="1"/>
        <i x="311" s="1"/>
        <i x="4" s="1"/>
        <i x="539" s="1"/>
        <i x="346" s="1"/>
        <i x="361" s="1"/>
        <i x="26" s="1"/>
        <i x="215" s="1"/>
        <i x="439" s="1"/>
        <i x="146" s="1"/>
        <i x="63" s="1"/>
        <i x="66" s="1"/>
        <i x="395" s="1"/>
        <i x="467" s="1"/>
        <i x="14" s="1"/>
        <i x="12" s="1"/>
        <i x="87" s="1"/>
        <i x="86" s="1"/>
        <i x="35" s="1"/>
        <i x="81" s="1"/>
        <i x="141" s="1"/>
        <i x="345" s="1"/>
        <i x="83" s="1"/>
        <i x="272" s="1"/>
        <i x="341" s="1"/>
        <i x="430" s="1"/>
        <i x="376" s="1"/>
        <i x="50" s="1"/>
        <i x="278" s="1"/>
        <i x="100" s="1"/>
        <i x="40" s="1"/>
        <i x="207" s="1"/>
        <i x="393" s="1"/>
        <i x="503" s="1"/>
        <i x="479" s="1"/>
        <i x="356" s="1"/>
        <i x="437" s="1"/>
        <i x="427" s="1"/>
        <i x="421" s="1"/>
        <i x="431" s="1"/>
        <i x="465" s="1"/>
        <i x="304" s="1"/>
        <i x="618" s="1"/>
        <i x="122" s="1"/>
        <i x="614" s="1"/>
        <i x="198" s="1"/>
        <i x="244" s="1"/>
        <i x="392" s="1"/>
        <i x="332" s="1"/>
        <i x="619" s="1"/>
        <i x="127" s="1"/>
        <i x="261" s="1"/>
        <i x="416" s="1"/>
        <i x="607" s="1"/>
        <i x="366" s="1"/>
        <i x="538" s="1"/>
        <i x="496" s="1"/>
        <i x="447" s="1"/>
        <i x="475" s="1"/>
        <i x="535" s="1"/>
        <i x="613" s="1"/>
        <i x="351" s="1"/>
        <i x="522" s="1"/>
        <i x="581" s="1"/>
        <i x="554" s="1"/>
        <i x="512" s="1"/>
        <i x="352" s="1"/>
        <i x="589" s="1"/>
        <i x="606" s="1"/>
        <i x="459" s="1"/>
        <i x="453" s="1"/>
        <i x="566" s="1"/>
        <i x="542" s="1"/>
        <i x="558" s="1"/>
        <i x="443" s="1"/>
        <i x="498" s="1"/>
        <i x="530" s="1"/>
        <i x="340" s="1"/>
        <i x="599" s="1"/>
        <i x="491" s="1"/>
        <i x="505" s="1"/>
        <i x="519" s="1"/>
        <i x="518" s="1"/>
        <i x="551" s="1"/>
        <i x="526" s="1"/>
        <i x="164" s="1"/>
        <i x="120" s="1"/>
        <i x="162" s="1"/>
        <i x="602" s="1"/>
        <i x="347" s="1"/>
        <i x="342" s="1"/>
        <i x="281" s="1"/>
        <i x="101" s="1"/>
        <i x="548" s="1"/>
        <i x="221" s="1"/>
        <i x="71" s="1"/>
        <i x="317" s="1"/>
        <i x="446" s="1"/>
        <i x="497" s="1"/>
        <i x="42" s="1"/>
        <i x="333" s="1"/>
        <i x="6" s="1"/>
        <i x="389" s="1"/>
        <i x="16" s="1"/>
        <i x="330" s="1"/>
        <i x="521" s="1"/>
        <i x="55" s="1"/>
        <i x="175" s="1"/>
        <i x="226" s="1"/>
        <i x="563" s="1"/>
        <i x="301" s="1"/>
        <i x="170" s="1"/>
        <i x="105" s="1"/>
        <i x="353" s="1"/>
        <i x="277" s="1"/>
        <i x="163" s="1"/>
        <i x="316" s="1"/>
        <i x="22" s="1"/>
        <i x="52" s="1"/>
        <i x="136" s="1"/>
        <i x="123" s="1"/>
        <i x="32" s="1"/>
        <i x="268" s="1"/>
        <i x="323" s="1"/>
        <i x="540" s="1"/>
        <i x="134" s="1"/>
        <i x="514" s="1"/>
        <i x="92" s="1"/>
        <i x="325" s="1"/>
        <i x="276" s="1"/>
        <i x="98" s="1"/>
        <i x="541" s="1"/>
        <i x="11" s="1"/>
        <i x="477" s="1"/>
        <i x="354" s="1"/>
        <i x="481" s="1"/>
        <i x="382" s="1"/>
        <i x="288" s="1"/>
        <i x="411" s="1"/>
        <i x="516" s="1"/>
        <i x="230" s="1"/>
        <i x="318" s="1"/>
        <i x="218" s="1"/>
        <i x="225" s="1"/>
        <i x="228" s="1"/>
        <i x="358" s="1"/>
        <i x="213" s="1"/>
        <i x="90" s="1"/>
        <i x="173" s="1"/>
        <i x="507" s="1"/>
        <i x="169" s="1"/>
        <i x="524" s="1"/>
        <i x="43" s="1"/>
        <i x="362" s="1"/>
        <i x="250" s="1"/>
        <i x="143" s="1"/>
        <i x="274" s="1"/>
        <i x="556" s="1"/>
        <i x="58" s="1"/>
        <i x="240" s="1"/>
        <i x="442" s="1"/>
        <i x="210" s="1"/>
        <i x="137" s="1"/>
        <i x="360" s="1"/>
        <i x="364" s="1"/>
        <i x="88" s="1"/>
        <i x="313" s="1"/>
        <i x="229" s="1"/>
        <i x="365" s="1"/>
        <i x="586" s="1"/>
        <i x="139" s="1"/>
        <i x="102" s="1"/>
        <i x="222" s="1"/>
        <i x="403" s="1"/>
        <i x="290" s="1"/>
        <i x="284" s="1"/>
        <i x="25" s="1"/>
        <i x="220" s="1"/>
        <i x="562" s="1"/>
        <i x="176" s="1"/>
        <i x="445" s="1"/>
        <i x="280" s="1"/>
        <i x="380" s="1"/>
        <i x="339" s="1"/>
        <i x="49" s="1"/>
        <i x="51" s="1"/>
        <i x="116" s="1"/>
        <i x="570" s="1"/>
        <i x="3" s="1"/>
        <i x="19" s="1"/>
        <i x="327" s="1"/>
        <i x="99" s="1"/>
        <i x="399" s="1"/>
        <i x="500" s="1"/>
        <i x="407" s="1"/>
        <i x="167" s="1"/>
        <i x="253" s="1"/>
        <i x="363" s="1"/>
        <i x="174" s="1"/>
        <i x="257" s="1"/>
        <i x="80" s="1"/>
        <i x="263" s="1"/>
        <i x="75" s="1"/>
        <i x="286" s="1"/>
        <i x="578" s="1"/>
        <i x="107" s="1"/>
        <i x="585" s="1"/>
        <i x="571" s="1"/>
        <i x="533" s="1"/>
        <i x="502" s="1"/>
        <i x="59" s="1"/>
        <i x="326" s="1"/>
        <i x="23" s="1"/>
        <i x="307" s="1"/>
        <i x="31" s="1"/>
        <i x="373" s="1"/>
        <i x="404" s="1"/>
        <i x="349" s="1"/>
        <i x="390" s="1"/>
        <i x="91" s="1"/>
        <i x="397" s="1"/>
        <i x="368" s="1"/>
        <i x="242" s="1"/>
        <i x="322" s="1"/>
        <i x="243" s="1"/>
        <i x="577" s="1"/>
        <i x="262" s="1"/>
        <i x="223" s="1"/>
        <i x="117" s="1"/>
        <i x="495" s="1"/>
        <i x="555" s="1"/>
        <i x="372" s="1"/>
        <i x="285" s="1"/>
        <i x="355" s="1"/>
        <i x="124" s="1"/>
        <i x="119" s="1"/>
        <i x="525" s="1"/>
        <i x="486" s="1"/>
        <i x="104" s="1"/>
        <i x="255" s="1"/>
        <i x="476" s="1"/>
        <i x="493" s="1"/>
        <i x="106" s="1"/>
        <i x="319" s="1"/>
        <i x="303" s="1"/>
        <i x="269" s="1"/>
        <i x="488" s="1"/>
        <i x="171" s="1"/>
        <i x="306" s="1"/>
        <i x="166" s="1"/>
        <i x="231" s="1"/>
        <i x="82" s="1"/>
        <i x="594" s="1"/>
        <i x="227" s="1"/>
        <i x="224" s="1"/>
        <i x="53" s="1"/>
        <i x="386" s="1"/>
        <i x="595" s="1"/>
        <i x="617" s="1"/>
        <i x="74" s="1"/>
        <i x="266" s="1"/>
        <i x="208" s="1"/>
        <i x="369" s="1"/>
        <i x="357" s="1"/>
        <i x="359" s="1"/>
        <i x="557" s="1"/>
        <i x="5" s="1"/>
        <i x="2" s="1"/>
        <i x="283" s="1"/>
        <i x="67" s="1"/>
        <i x="480" s="1"/>
        <i x="305" s="1"/>
        <i x="142" s="1"/>
        <i x="199" s="1"/>
        <i x="310" s="1"/>
        <i x="114" s="1"/>
        <i x="17" s="1"/>
        <i x="328" s="1"/>
        <i x="46" s="1"/>
        <i x="103" s="1"/>
        <i x="41" s="1"/>
        <i x="37" s="1"/>
        <i x="72" s="1"/>
        <i x="249" s="1"/>
        <i x="256" s="1"/>
        <i x="96" s="1"/>
        <i x="209" s="1"/>
        <i x="76" s="1"/>
        <i x="508" s="1"/>
        <i x="482" s="1"/>
        <i x="367" s="1"/>
        <i x="444" s="1"/>
        <i x="321" s="1"/>
        <i x="258" s="1"/>
        <i x="400" s="1"/>
        <i x="79" s="1"/>
        <i x="172" s="1"/>
        <i x="294" s="1"/>
        <i x="620" s="1"/>
        <i x="600" s="1"/>
        <i x="21" s="1"/>
        <i x="336" s="1"/>
        <i x="546" s="1"/>
        <i x="616" s="1"/>
        <i x="510" s="1"/>
        <i x="604" s="1"/>
        <i x="543" s="1"/>
        <i x="147" s="1"/>
        <i x="293" s="1"/>
        <i x="94" s="1"/>
        <i x="320" s="1"/>
        <i x="385" s="1"/>
        <i x="150" s="1"/>
        <i x="149" s="1"/>
        <i x="291" s="1"/>
        <i x="112" s="1"/>
        <i x="454" s="1"/>
        <i x="185" s="1"/>
        <i x="186" s="1"/>
        <i x="205" s="1"/>
        <i x="195" s="1"/>
        <i x="189" s="1"/>
        <i x="177" s="1"/>
        <i x="18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1D685F6-20FD-44FD-8151-1B9D456930A9}" sourceName="City">
  <pivotTables>
    <pivotTable tabId="4" name="PivotTable3"/>
    <pivotTable tabId="4" name="PivotTable18"/>
    <pivotTable tabId="4" name="PivotTable29"/>
    <pivotTable tabId="4" name="PivotTable30"/>
    <pivotTable tabId="4" name="PivotTable31"/>
    <pivotTable tabId="4" name="PivotTable32"/>
    <pivotTable tabId="4" name="PivotTable33"/>
    <pivotTable tabId="4" name="PivotTable1"/>
    <pivotTable tabId="4" name="PivotTable2"/>
    <pivotTable tabId="4" name="PivotTable4"/>
    <pivotTable tabId="4" name="PivotTable5"/>
    <pivotTable tabId="4" name="PivotTable6"/>
    <pivotTable tabId="4" name="PivotTable7"/>
    <pivotTable tabId="4" name="PivotTable8"/>
    <pivotTable tabId="4" name="PivotTable9"/>
  </pivotTables>
  <data>
    <tabular pivotCacheId="2067268814">
      <items count="556">
        <i x="254" s="1"/>
        <i x="81" s="1"/>
        <i x="43" s="1"/>
        <i x="163" s="1"/>
        <i x="190" s="1"/>
        <i x="357" s="1"/>
        <i x="464" s="1"/>
        <i x="68" s="1"/>
        <i x="367" s="1"/>
        <i x="387" s="1"/>
        <i x="531" s="1"/>
        <i x="372" s="1"/>
        <i x="515" s="1"/>
        <i x="555" s="1"/>
        <i x="361" s="1"/>
        <i x="465" s="1"/>
        <i x="490" s="1"/>
        <i x="6" s="1"/>
        <i x="536" s="1"/>
        <i x="324" s="1"/>
        <i x="19" s="1"/>
        <i x="488" s="1"/>
        <i x="339" s="1"/>
        <i x="332" s="1"/>
        <i x="431" s="1"/>
        <i x="77" s="1"/>
        <i x="208" s="1"/>
        <i x="381" s="1"/>
        <i x="123" s="1"/>
        <i x="243" s="1"/>
        <i x="20" s="1"/>
        <i x="16" s="1"/>
        <i x="21" s="1"/>
        <i x="279" s="1"/>
        <i x="230" s="1"/>
        <i x="90" s="1"/>
        <i x="392" s="1"/>
        <i x="42" s="1"/>
        <i x="548" s="1"/>
        <i x="124" s="1"/>
        <i x="53" s="1"/>
        <i x="399" s="1"/>
        <i x="33" s="1"/>
        <i x="195" s="1"/>
        <i x="12" s="1"/>
        <i x="460" s="1"/>
        <i x="105" s="1"/>
        <i x="502" s="1"/>
        <i x="396" s="1"/>
        <i x="246" s="1"/>
        <i x="48" s="1"/>
        <i x="52" s="1"/>
        <i x="156" s="1"/>
        <i x="418" s="1"/>
        <i x="302" s="1"/>
        <i x="101" s="1"/>
        <i x="454" s="1"/>
        <i x="257" s="1"/>
        <i x="384" s="1"/>
        <i x="298" s="1"/>
        <i x="234" s="1"/>
        <i x="149" s="1"/>
        <i x="414" s="1"/>
        <i x="30" s="1"/>
        <i x="95" s="1"/>
        <i x="277" s="1"/>
        <i x="407" s="1"/>
        <i x="84" s="1"/>
        <i x="262" s="1"/>
        <i x="228" s="1"/>
        <i x="22" s="1"/>
        <i x="203" s="1"/>
        <i x="18" s="1"/>
        <i x="405" s="1"/>
        <i x="385" s="1"/>
        <i x="323" s="1"/>
        <i x="131" s="1"/>
        <i x="520" s="1"/>
        <i x="486" s="1"/>
        <i x="335" s="1"/>
        <i x="15" s="1"/>
        <i x="468" s="1"/>
        <i x="130" s="1"/>
        <i x="118" s="1"/>
        <i x="393" s="1"/>
        <i x="0" s="1"/>
        <i x="358" s="1"/>
        <i x="36" s="1"/>
        <i x="480" s="1"/>
        <i x="129" s="1"/>
        <i x="104" s="1"/>
        <i x="415" s="1"/>
        <i x="430" s="1"/>
        <i x="533" s="1"/>
        <i x="319" s="1"/>
        <i x="170" s="1"/>
        <i x="364" s="1"/>
        <i x="177" s="1"/>
        <i x="356" s="1"/>
        <i x="89" s="1"/>
        <i x="458" s="1"/>
        <i x="350" s="1"/>
        <i x="489" s="1"/>
        <i x="506" s="1"/>
        <i x="273" s="1"/>
        <i x="390" s="1"/>
        <i x="275" s="1"/>
        <i x="186" s="1"/>
        <i x="233" s="1"/>
        <i x="182" s="1"/>
        <i x="411" s="1"/>
        <i x="481" s="1"/>
        <i x="11" s="1"/>
        <i x="432" s="1"/>
        <i x="236" s="1"/>
        <i x="187" s="1"/>
        <i x="215" s="1"/>
        <i x="417" s="1"/>
        <i x="475" s="1"/>
        <i x="445" s="1"/>
        <i x="546" s="1"/>
        <i x="171" s="1"/>
        <i x="46" s="1"/>
        <i x="547" s="1"/>
        <i x="83" s="1"/>
        <i x="74" s="1"/>
        <i x="474" s="1"/>
        <i x="97" s="1"/>
        <i x="217" s="1"/>
        <i x="326" s="1"/>
        <i x="34" s="1"/>
        <i x="359" s="1"/>
        <i x="419" s="1"/>
        <i x="239" s="1"/>
        <i x="541" s="1"/>
        <i x="498" s="1"/>
        <i x="408" s="1"/>
        <i x="532" s="1"/>
        <i x="320" s="1"/>
        <i x="78" s="1"/>
        <i x="125" s="1"/>
        <i x="14" s="1"/>
        <i x="456" s="1"/>
        <i x="199" s="1"/>
        <i x="276" s="1"/>
        <i x="92" s="1"/>
        <i x="188" s="1"/>
        <i x="40" s="1"/>
        <i x="136" s="1"/>
        <i x="137" s="1"/>
        <i x="263" s="1"/>
        <i x="391" s="1"/>
        <i x="331" s="1"/>
        <i x="245" s="1"/>
        <i x="194" s="1"/>
        <i x="197" s="1"/>
        <i x="441" s="1"/>
        <i x="282" s="1"/>
        <i x="437" s="1"/>
        <i x="303" s="1"/>
        <i x="373" s="1"/>
        <i x="232" s="1"/>
        <i x="87" s="1"/>
        <i x="159" s="1"/>
        <i x="382" s="1"/>
        <i x="62" s="1"/>
        <i x="286" s="1"/>
        <i x="447" s="1"/>
        <i x="184" s="1"/>
        <i x="45" s="1"/>
        <i x="406" s="1"/>
        <i x="155" s="1"/>
        <i x="325" s="1"/>
        <i x="455" s="1"/>
        <i x="366" s="1"/>
        <i x="260" s="1"/>
        <i x="41" s="1"/>
        <i x="70" s="1"/>
        <i x="274" s="1"/>
        <i x="307" s="1"/>
        <i x="290" s="1"/>
        <i x="219" s="1"/>
        <i x="147" s="1"/>
        <i x="138" s="1"/>
        <i x="296" s="1"/>
        <i x="167" s="1"/>
        <i x="467" s="1"/>
        <i x="172" s="1"/>
        <i x="337" s="1"/>
        <i x="398" s="1"/>
        <i x="108" s="1"/>
        <i x="80" s="1"/>
        <i x="106" s="1"/>
        <i x="165" s="1"/>
        <i x="86" s="1"/>
        <i x="341" s="1"/>
        <i x="370" s="1"/>
        <i x="507" s="1"/>
        <i x="32" s="1"/>
        <i x="56" s="1"/>
        <i x="299" s="1"/>
        <i x="201" s="1"/>
        <i x="269" s="1"/>
        <i x="67" s="1"/>
        <i x="495" s="1"/>
        <i x="135" s="1"/>
        <i x="71" s="1"/>
        <i x="24" s="1"/>
        <i x="267" s="1"/>
        <i x="209" s="1"/>
        <i x="369" s="1"/>
        <i x="401" s="1"/>
        <i x="175" s="1"/>
        <i x="305" s="1"/>
        <i x="309" s="1"/>
        <i x="477" s="1"/>
        <i x="511" s="1"/>
        <i x="120" s="1"/>
        <i x="127" s="1"/>
        <i x="328" s="1"/>
        <i x="132" s="1"/>
        <i x="539" s="1"/>
        <i x="85" s="1"/>
        <i x="268" s="1"/>
        <i x="540" s="1"/>
        <i x="483" s="1"/>
        <i x="258" s="1"/>
        <i x="66" s="1"/>
        <i x="379" s="1"/>
        <i x="82" s="1"/>
        <i x="283" s="1"/>
        <i x="416" s="1"/>
        <i x="344" s="1"/>
        <i x="334" s="1"/>
        <i x="352" s="1"/>
        <i x="210" s="1"/>
        <i x="198" s="1"/>
        <i x="516" s="1"/>
        <i x="360" s="1"/>
        <i x="514" s="1"/>
        <i x="220" s="1"/>
        <i x="402" s="1"/>
        <i x="310" s="1"/>
        <i x="65" s="1"/>
        <i x="259" s="1"/>
        <i x="349" s="1"/>
        <i x="404" s="1"/>
        <i x="517" s="1"/>
        <i x="526" s="1"/>
        <i x="389" s="1"/>
        <i x="264" s="1"/>
        <i x="47" s="1"/>
        <i x="542" s="1"/>
        <i x="472" s="1"/>
        <i x="265" s="1"/>
        <i x="499" s="1"/>
        <i x="500" s="1"/>
        <i x="59" s="1"/>
        <i x="497" s="1"/>
        <i x="446" s="1"/>
        <i x="436" s="1"/>
        <i x="134" s="1"/>
        <i x="206" s="1"/>
        <i x="261" s="1"/>
        <i x="434" s="1"/>
        <i x="154" s="1"/>
        <i x="98" s="1"/>
        <i x="191" s="1"/>
        <i x="143" s="1"/>
        <i x="315" s="1"/>
        <i x="322" s="1"/>
        <i x="346" s="1"/>
        <i x="150" s="1"/>
        <i x="425" s="1"/>
        <i x="427" s="1"/>
        <i x="237" s="1"/>
        <i x="278" s="1"/>
        <i x="295" s="1"/>
        <i x="25" s="1"/>
        <i x="231" s="1"/>
        <i x="189" s="1"/>
        <i x="501" s="1"/>
        <i x="410" s="1"/>
        <i x="482" s="1"/>
        <i x="1" s="1"/>
        <i x="107" s="1"/>
        <i x="180" s="1"/>
        <i x="202" s="1"/>
        <i x="336" s="1"/>
        <i x="161" s="1"/>
        <i x="158" s="1"/>
        <i x="37" s="1"/>
        <i x="386" s="1"/>
        <i x="508" s="1"/>
        <i x="256" s="1"/>
        <i x="146" s="1"/>
        <i x="139" s="1"/>
        <i x="93" s="1"/>
        <i x="287" s="1"/>
        <i x="553" s="1"/>
        <i x="409" s="1"/>
        <i x="478" s="1"/>
        <i x="461" s="1"/>
        <i x="49" s="1"/>
        <i x="376" s="1"/>
        <i x="509" s="1"/>
        <i x="444" s="1"/>
        <i x="545" s="1"/>
        <i x="519" s="1"/>
        <i x="238" s="1"/>
        <i x="388" s="1"/>
        <i x="543" s="1"/>
        <i x="550" s="1"/>
        <i x="3" s="1"/>
        <i x="453" s="1"/>
        <i x="311" s="1"/>
        <i x="122" s="1"/>
        <i x="54" s="1"/>
        <i x="96" s="1"/>
        <i x="342" s="1"/>
        <i x="544" s="1"/>
        <i x="440" s="1"/>
        <i x="223" s="1"/>
        <i x="351" s="1"/>
        <i x="291" s="1"/>
        <i x="462" s="1"/>
        <i x="153" s="1"/>
        <i x="221" s="1"/>
        <i x="121" s="1"/>
        <i x="492" s="1"/>
        <i x="355" s="1"/>
        <i x="4" s="1"/>
        <i x="60" s="1"/>
        <i x="375" s="1"/>
        <i x="528" s="1"/>
        <i x="166" s="1"/>
        <i x="308" s="1"/>
        <i x="91" s="1"/>
        <i x="160" s="1"/>
        <i x="178" s="1"/>
        <i x="126" s="1"/>
        <i x="72" s="1"/>
        <i x="148" s="1"/>
        <i x="421" s="1"/>
        <i x="140" s="1"/>
        <i x="554" s="1"/>
        <i x="518" s="1"/>
        <i x="214" s="1"/>
        <i x="103" s="1"/>
        <i x="525" s="1"/>
        <i x="510" s="1"/>
        <i x="330" s="1"/>
        <i x="248" s="1"/>
        <i x="524" s="1"/>
        <i x="473" s="1"/>
        <i x="58" s="1"/>
        <i x="442" s="1"/>
        <i x="57" s="1"/>
        <i x="23" s="1"/>
        <i x="457" s="1"/>
        <i x="252" s="1"/>
        <i x="31" s="1"/>
        <i x="216" s="1"/>
        <i x="318" s="1"/>
        <i x="280" s="1"/>
        <i x="466" s="1"/>
        <i x="449" s="1"/>
        <i x="8" s="1"/>
        <i x="294" s="1"/>
        <i x="493" s="1"/>
        <i x="333" s="1"/>
        <i x="538" s="1"/>
        <i x="69" s="1"/>
        <i x="88" s="1"/>
        <i x="365" s="1"/>
        <i x="340" s="1"/>
        <i x="313" s="1"/>
        <i x="116" s="1"/>
        <i x="452" s="1"/>
        <i x="471" s="1"/>
        <i x="211" s="1"/>
        <i x="174" s="1"/>
        <i x="371" s="1"/>
        <i x="241" s="1"/>
        <i x="272" s="1"/>
        <i x="363" s="1"/>
        <i x="212" s="1"/>
        <i x="400" s="1"/>
        <i x="28" s="1"/>
        <i x="227" s="1"/>
        <i x="179" s="1"/>
        <i x="301" s="1"/>
        <i x="450" s="1"/>
        <i x="374" s="1"/>
        <i x="110" s="1"/>
        <i x="204" s="1"/>
        <i x="306" s="1"/>
        <i x="459" s="1"/>
        <i x="424" s="1"/>
        <i x="522" s="1"/>
        <i x="185" s="1"/>
        <i x="377" s="1"/>
        <i x="192" s="1"/>
        <i x="368" s="1"/>
        <i x="112" s="1"/>
        <i x="151" s="1"/>
        <i x="383" s="1"/>
        <i x="314" s="1"/>
        <i x="469" s="1"/>
        <i x="435" s="1"/>
        <i x="354" s="1"/>
        <i x="485" s="1"/>
        <i x="133" s="1"/>
        <i x="288" s="1"/>
        <i x="439" s="1"/>
        <i x="253" s="1"/>
        <i x="353" s="1"/>
        <i x="55" s="1"/>
        <i x="205" s="1"/>
        <i x="494" s="1"/>
        <i x="327" s="1"/>
        <i x="484" s="1"/>
        <i x="317" s="1"/>
        <i x="523" s="1"/>
        <i x="470" s="1"/>
        <i x="378" s="1"/>
        <i x="300" s="1"/>
        <i x="348" s="1"/>
        <i x="512" s="1"/>
        <i x="38" s="1"/>
        <i x="235" s="1"/>
        <i x="321" s="1"/>
        <i x="521" s="1"/>
        <i x="443" s="1"/>
        <i x="505" s="1"/>
        <i x="513" s="1"/>
        <i x="537" s="1"/>
        <i x="429" s="1"/>
        <i x="423" s="1"/>
        <i x="119" s="1"/>
        <i x="63" s="1"/>
        <i x="114" s="1"/>
        <i x="39" s="1"/>
        <i x="413" s="1"/>
        <i x="61" s="1"/>
        <i x="13" s="1"/>
        <i x="297" s="1"/>
        <i x="426" s="1"/>
        <i x="552" s="1"/>
        <i x="164" s="1"/>
        <i x="362" s="1"/>
        <i x="100" s="1"/>
        <i x="128" s="1"/>
        <i x="115" s="1"/>
        <i x="527" s="1"/>
        <i x="491" s="1"/>
        <i x="7" s="1"/>
        <i x="266" s="1"/>
        <i x="242" s="1"/>
        <i x="463" s="1"/>
        <i x="380" s="1"/>
        <i x="529" s="1"/>
        <i x="433" s="1"/>
        <i x="102" s="1"/>
        <i x="428" s="1"/>
        <i x="157" s="1"/>
        <i x="113" s="1"/>
        <i x="29" s="1"/>
        <i x="251" s="1"/>
        <i x="10" s="1"/>
        <i x="152" s="1"/>
        <i x="200" s="1"/>
        <i x="79" s="1"/>
        <i x="534" s="1"/>
        <i x="226" s="1"/>
        <i x="76" s="1"/>
        <i x="403" s="1"/>
        <i x="196" s="1"/>
        <i x="193" s="1"/>
        <i x="176" s="1"/>
        <i x="207" s="1"/>
        <i x="51" s="1"/>
        <i x="530" s="1"/>
        <i x="329" s="1"/>
        <i x="535" s="1"/>
        <i x="551" s="1"/>
        <i x="549" s="1"/>
        <i x="27" s="1"/>
        <i x="487" s="1"/>
        <i x="247" s="1"/>
        <i x="451" s="1"/>
        <i x="504" s="1"/>
        <i x="503" s="1"/>
        <i x="26" s="1"/>
        <i x="94" s="1"/>
        <i x="289" s="1"/>
        <i x="225" s="1"/>
        <i x="316" s="1"/>
        <i x="141" s="1"/>
        <i x="395" s="1"/>
        <i x="496" s="1"/>
        <i x="5" s="1"/>
        <i x="338" s="1"/>
        <i x="229" s="1"/>
        <i x="2" s="1"/>
        <i x="145" s="1"/>
        <i x="75" s="1"/>
        <i x="476" s="1"/>
        <i x="224" s="1"/>
        <i x="249" s="1"/>
        <i x="244" s="1"/>
        <i x="438" s="1"/>
        <i x="64" s="1"/>
        <i x="420" s="1"/>
        <i x="293" s="1"/>
        <i x="250" s="1"/>
        <i x="173" s="1"/>
        <i x="213" s="1"/>
        <i x="281" s="1"/>
        <i x="271" s="1"/>
        <i x="181" s="1"/>
        <i x="117" s="1"/>
        <i x="142" s="1"/>
        <i x="285" s="1"/>
        <i x="255" s="1"/>
        <i x="292" s="1"/>
        <i x="50" s="1"/>
        <i x="479" s="1"/>
        <i x="347" s="1"/>
        <i x="109" s="1"/>
        <i x="17" s="1"/>
        <i x="284" s="1"/>
        <i x="304" s="1"/>
        <i x="144" s="1"/>
        <i x="412" s="1"/>
        <i x="44" s="1"/>
        <i x="99" s="1"/>
        <i x="240" s="1"/>
        <i x="35" s="1"/>
        <i x="270" s="1"/>
        <i x="183" s="1"/>
        <i x="218" s="1"/>
        <i x="222" s="1"/>
        <i x="111" s="1"/>
        <i x="162" s="1"/>
        <i x="73" s="1"/>
        <i x="394" s="1"/>
        <i x="168" s="1"/>
        <i x="345" s="1"/>
        <i x="169" s="1"/>
        <i x="343" s="1"/>
        <i x="397" s="1"/>
        <i x="448" s="1"/>
        <i x="422" s="1"/>
        <i x="312"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238FB7D3-45F2-4EBA-BD71-9602805BC061}" cache="Slicer_Country" caption="Country" rowHeight="247650"/>
  <slicer name="Program 1" xr10:uid="{F9D56C80-A87D-49B6-A24C-07C6756EC371}" cache="Slicer_Program" caption="Program" rowHeight="247650"/>
  <slicer name="Level 3" xr10:uid="{19FECD5F-63F9-4693-ACFB-AB5C6CB47FA9}" cache="Slicer_Level" caption="Level" rowHeight="247650"/>
  <slicer name="University 1" xr10:uid="{B0980020-28C2-4AEC-8419-655AE44D9201}" cache="Slicer_University" caption="University" rowHeight="247650"/>
  <slicer name="City 2" xr10:uid="{86C9FF37-B9F1-476B-B56C-39250AFB7A95}" cache="Slicer_City" caption="Cit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4" xr10:uid="{903B8AC9-2D87-47EA-98EB-5B69984ECD1F}" cache="Slicer_Country" caption="Country" startItem="18" style="SlicerStyleDark4" rowHeight="247650"/>
  <slicer name="Program 2" xr10:uid="{51420BED-B0DB-49B9-9132-1EE45098D76E}" cache="Slicer_Program" caption="Program" startItem="2" style="SlicerStyleDark4" rowHeight="247650"/>
  <slicer name="Level 2" xr10:uid="{545BE7F6-832E-43E2-B418-3578398F3F7B}" cache="Slicer_Level" caption="Level" style="SlicerStyleDark4" rowHeight="247650"/>
  <slicer name="University 2" xr10:uid="{104C807A-9B83-4608-BD5B-3829D7C888A8}" cache="Slicer_University" caption="University" style="SlicerStyleDark4" rowHeight="247650"/>
  <slicer name="City 1" xr10:uid="{299A8A04-4082-4598-AA8D-1C604AC37A24}" cache="Slicer_City" caption="City" style="SlicerStyleDark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BD8965-0126-4207-B392-7AEBB6EC9CE1}" name="International_Education_Cost" displayName="International_Education_Cost" ref="A1:N908" totalsRowShown="0" headerRowDxfId="51" dataDxfId="50" tableBorderDxfId="49" dataCellStyle="Currency">
  <autoFilter ref="A1:N908" xr:uid="{B5BD8965-0126-4207-B392-7AEBB6EC9CE1}"/>
  <tableColumns count="14">
    <tableColumn id="1" xr3:uid="{A989113C-386B-456E-ABC0-9EAE74BBF1D0}" name="Country" dataDxfId="48"/>
    <tableColumn id="2" xr3:uid="{0873920A-2B7B-4FBE-9176-6BF04E4663D5}" name="City" dataDxfId="47"/>
    <tableColumn id="3" xr3:uid="{D2718BE8-BCD1-40EF-A3C0-5C91D8BAD80F}" name="University" dataDxfId="46"/>
    <tableColumn id="4" xr3:uid="{53E60920-2781-48C9-9AA7-2D83130BDA93}" name="Program" dataDxfId="45"/>
    <tableColumn id="5" xr3:uid="{ACA8FAE0-C84C-4D50-AE4D-144AF0763ADE}" name="Level" dataDxfId="44"/>
    <tableColumn id="6" xr3:uid="{23495D16-23A6-4515-9876-BD2D79F23A1F}" name="Duration_Years" dataDxfId="43"/>
    <tableColumn id="7" xr3:uid="{D8505ACA-CDFA-4986-8D67-3DBE93778D3F}" name="Tuition_USD" dataDxfId="42" dataCellStyle="Currency"/>
    <tableColumn id="8" xr3:uid="{B96F1726-F999-44CE-9305-3E09C00A058E}" name="Living_Cost_Index" dataDxfId="41" dataCellStyle="Currency"/>
    <tableColumn id="9" xr3:uid="{5D6B8429-0813-4A29-99E0-EBB31E68280B}" name="Rent_USD" dataDxfId="40" dataCellStyle="Currency"/>
    <tableColumn id="10" xr3:uid="{6254BF20-BD64-4CC2-B8A7-173958ABF218}" name="Visa_Fee_USD" dataDxfId="39" dataCellStyle="Currency"/>
    <tableColumn id="11" xr3:uid="{A193E62D-7ACD-4B61-AD27-26306AC981E9}" name="Insurance_USD" dataDxfId="38" dataCellStyle="Currency"/>
    <tableColumn id="12" xr3:uid="{D935765A-937D-4ED9-99D3-2B44EA5ECC27}" name="Exchange_Rate" dataDxfId="37" dataCellStyle="Currency"/>
    <tableColumn id="13" xr3:uid="{F0641AA0-6430-422D-97D8-A51316921B9A}" name="Total_Cost(Local currency)" dataDxfId="36" dataCellStyle="Currency">
      <calculatedColumnFormula>International_Education_Costs!$G2+International_Education_Costs!$H2+International_Education_Costs!$I2+International_Education_Costs!$J2+International_Education_Costs!$K2*International_Education_Costs!$L2</calculatedColumnFormula>
    </tableColumn>
    <tableColumn id="14" xr3:uid="{A04F3681-0EFC-4AF8-9801-313FFDED7479}" name="Total_Study_Cost" dataDxfId="35" dataCellStyle="Currency">
      <calculatedColumnFormula>International_Education_Costs!$G2+International_Education_Costs!$H2+International_Education_Costs!$I2+International_Education_Costs!$J2+International_Education_Costs!$K2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F22C6-0C08-4B4E-95BE-4319FFA770B6}">
  <dimension ref="A1:S908"/>
  <sheetViews>
    <sheetView topLeftCell="D1" workbookViewId="0">
      <selection activeCell="H17" sqref="H17"/>
    </sheetView>
  </sheetViews>
  <sheetFormatPr defaultRowHeight="14.4" x14ac:dyDescent="0.3"/>
  <cols>
    <col min="1" max="1" width="14.21875" customWidth="1"/>
    <col min="2" max="2" width="15.44140625" customWidth="1"/>
    <col min="3" max="3" width="38.6640625" customWidth="1"/>
    <col min="4" max="4" width="21.77734375" customWidth="1"/>
    <col min="6" max="6" width="18.109375" customWidth="1"/>
    <col min="7" max="7" width="16.77734375" customWidth="1"/>
    <col min="8" max="8" width="20.33203125" style="26" customWidth="1"/>
    <col min="9" max="9" width="14" customWidth="1"/>
    <col min="10" max="10" width="16.77734375" customWidth="1"/>
    <col min="11" max="11" width="15.33203125" customWidth="1"/>
    <col min="12" max="12" width="18" customWidth="1"/>
    <col min="13" max="13" width="27.6640625" customWidth="1"/>
    <col min="14" max="14" width="20.88671875" customWidth="1"/>
    <col min="16" max="16" width="10.21875" bestFit="1" customWidth="1"/>
  </cols>
  <sheetData>
    <row r="1" spans="1:19" x14ac:dyDescent="0.3">
      <c r="A1" s="8" t="s">
        <v>0</v>
      </c>
      <c r="B1" s="8" t="s">
        <v>1</v>
      </c>
      <c r="C1" s="8" t="s">
        <v>2</v>
      </c>
      <c r="D1" s="8" t="s">
        <v>3</v>
      </c>
      <c r="E1" s="8" t="s">
        <v>4</v>
      </c>
      <c r="F1" s="8" t="s">
        <v>5</v>
      </c>
      <c r="G1" s="8" t="s">
        <v>6</v>
      </c>
      <c r="H1" s="23" t="s">
        <v>7</v>
      </c>
      <c r="I1" s="8" t="s">
        <v>8</v>
      </c>
      <c r="J1" s="8" t="s">
        <v>9</v>
      </c>
      <c r="K1" s="8" t="s">
        <v>10</v>
      </c>
      <c r="L1" s="8" t="s">
        <v>11</v>
      </c>
      <c r="M1" s="8" t="s">
        <v>1357</v>
      </c>
      <c r="N1" s="8" t="s">
        <v>1356</v>
      </c>
      <c r="O1" s="1"/>
      <c r="P1" s="1"/>
      <c r="Q1" s="1"/>
      <c r="R1" s="1"/>
      <c r="S1" s="1"/>
    </row>
    <row r="2" spans="1:19" x14ac:dyDescent="0.3">
      <c r="A2" s="4" t="s">
        <v>12</v>
      </c>
      <c r="B2" s="4" t="s">
        <v>13</v>
      </c>
      <c r="C2" s="4" t="s">
        <v>14</v>
      </c>
      <c r="D2" s="4" t="s">
        <v>15</v>
      </c>
      <c r="E2" s="4" t="s">
        <v>16</v>
      </c>
      <c r="F2" s="4">
        <v>2</v>
      </c>
      <c r="G2" s="5">
        <v>55400</v>
      </c>
      <c r="H2" s="24">
        <v>83.5</v>
      </c>
      <c r="I2" s="16">
        <v>2200</v>
      </c>
      <c r="J2" s="5">
        <v>160</v>
      </c>
      <c r="K2" s="5">
        <v>1500</v>
      </c>
      <c r="L2" s="5">
        <v>1</v>
      </c>
      <c r="M2" s="5">
        <f>(International_Education_Costs!$G2+International_Education_Costs!$I2+International_Education_Costs!$J2+International_Education_Costs!$K2)*International_Education_Costs!$L2</f>
        <v>59260</v>
      </c>
      <c r="N2" s="5">
        <f>International_Education_Costs!$G2+International_Education_Costs!$I2+International_Education_Costs!$J2+International_Education_Costs!$K2</f>
        <v>59260</v>
      </c>
      <c r="O2" s="1"/>
      <c r="P2" s="12">
        <f>AVERAGE(G:G)</f>
        <v>16705.016538037486</v>
      </c>
      <c r="Q2" s="1"/>
      <c r="R2" s="1"/>
      <c r="S2" s="1"/>
    </row>
    <row r="3" spans="1:19" x14ac:dyDescent="0.3">
      <c r="A3" s="6" t="s">
        <v>17</v>
      </c>
      <c r="B3" s="6" t="s">
        <v>18</v>
      </c>
      <c r="C3" s="6" t="s">
        <v>19</v>
      </c>
      <c r="D3" s="6" t="s">
        <v>20</v>
      </c>
      <c r="E3" s="6" t="s">
        <v>16</v>
      </c>
      <c r="F3" s="6">
        <v>1</v>
      </c>
      <c r="G3" s="7">
        <v>41200</v>
      </c>
      <c r="H3" s="25">
        <v>75.8</v>
      </c>
      <c r="I3" s="17">
        <v>1800</v>
      </c>
      <c r="J3" s="7">
        <v>485</v>
      </c>
      <c r="K3" s="7">
        <v>800</v>
      </c>
      <c r="L3" s="7">
        <v>0.79</v>
      </c>
      <c r="M3" s="7">
        <f>(International_Education_Costs!$G3+International_Education_Costs!$I3+International_Education_Costs!$J3+International_Education_Costs!$K3)*International_Education_Costs!$L3</f>
        <v>34985.15</v>
      </c>
      <c r="N3" s="7">
        <f>International_Education_Costs!$G3+International_Education_Costs!$I3+International_Education_Costs!$J3+International_Education_Costs!$K3</f>
        <v>44285</v>
      </c>
      <c r="O3" s="1"/>
      <c r="P3" s="13">
        <f>AVERAGE(H:H)</f>
        <v>64.437486218302325</v>
      </c>
      <c r="Q3" s="1"/>
      <c r="R3" s="1"/>
      <c r="S3" s="1"/>
    </row>
    <row r="4" spans="1:19" x14ac:dyDescent="0.3">
      <c r="A4" s="4" t="s">
        <v>21</v>
      </c>
      <c r="B4" s="4" t="s">
        <v>22</v>
      </c>
      <c r="C4" s="4" t="s">
        <v>23</v>
      </c>
      <c r="D4" s="4" t="s">
        <v>24</v>
      </c>
      <c r="E4" s="4" t="s">
        <v>16</v>
      </c>
      <c r="F4" s="4">
        <v>2</v>
      </c>
      <c r="G4" s="5">
        <v>38500</v>
      </c>
      <c r="H4" s="24">
        <v>72.5</v>
      </c>
      <c r="I4" s="16">
        <v>1600</v>
      </c>
      <c r="J4" s="5">
        <v>235</v>
      </c>
      <c r="K4" s="5">
        <v>900</v>
      </c>
      <c r="L4" s="5">
        <v>1.35</v>
      </c>
      <c r="M4" s="5">
        <f>(International_Education_Costs!$G4+International_Education_Costs!$I4+International_Education_Costs!$J4+International_Education_Costs!$K4)*International_Education_Costs!$L4</f>
        <v>55667.250000000007</v>
      </c>
      <c r="N4" s="5">
        <f>International_Education_Costs!$G4+International_Education_Costs!$I4+International_Education_Costs!$J4+International_Education_Costs!$K4</f>
        <v>41235</v>
      </c>
      <c r="O4" s="1"/>
      <c r="P4" s="14">
        <f>AVERAGE(I:I)</f>
        <v>969.20617420066151</v>
      </c>
      <c r="Q4" s="1"/>
      <c r="R4" s="1"/>
      <c r="S4" s="1"/>
    </row>
    <row r="5" spans="1:19" x14ac:dyDescent="0.3">
      <c r="A5" s="6" t="s">
        <v>25</v>
      </c>
      <c r="B5" s="6" t="s">
        <v>26</v>
      </c>
      <c r="C5" s="6" t="s">
        <v>27</v>
      </c>
      <c r="D5" s="6" t="s">
        <v>28</v>
      </c>
      <c r="E5" s="6" t="s">
        <v>16</v>
      </c>
      <c r="F5" s="6">
        <v>2</v>
      </c>
      <c r="G5" s="7">
        <v>42000</v>
      </c>
      <c r="H5" s="25">
        <v>71.2</v>
      </c>
      <c r="I5" s="17">
        <v>1400</v>
      </c>
      <c r="J5" s="7">
        <v>450</v>
      </c>
      <c r="K5" s="7">
        <v>650</v>
      </c>
      <c r="L5" s="7">
        <v>1.52</v>
      </c>
      <c r="M5" s="7">
        <f>(International_Education_Costs!$G5+International_Education_Costs!$I5+International_Education_Costs!$J5+International_Education_Costs!$K5)*International_Education_Costs!$L5</f>
        <v>67640</v>
      </c>
      <c r="N5" s="7">
        <f>International_Education_Costs!$G5+International_Education_Costs!$I5+International_Education_Costs!$J5+International_Education_Costs!$K5</f>
        <v>44500</v>
      </c>
      <c r="O5" s="1"/>
      <c r="P5" s="14">
        <f>AVERAGE(J:J)</f>
        <v>211.39691289966925</v>
      </c>
      <c r="Q5" s="1"/>
      <c r="R5" s="1"/>
      <c r="S5" s="1"/>
    </row>
    <row r="6" spans="1:19" x14ac:dyDescent="0.3">
      <c r="A6" s="4" t="s">
        <v>29</v>
      </c>
      <c r="B6" s="4" t="s">
        <v>30</v>
      </c>
      <c r="C6" s="4" t="s">
        <v>31</v>
      </c>
      <c r="D6" s="4" t="s">
        <v>32</v>
      </c>
      <c r="E6" s="4" t="s">
        <v>16</v>
      </c>
      <c r="F6" s="4">
        <v>2</v>
      </c>
      <c r="G6" s="5">
        <v>500</v>
      </c>
      <c r="H6" s="24">
        <v>70.5</v>
      </c>
      <c r="I6" s="16">
        <v>1100</v>
      </c>
      <c r="J6" s="5">
        <v>75</v>
      </c>
      <c r="K6" s="5">
        <v>550</v>
      </c>
      <c r="L6" s="5">
        <v>0.92</v>
      </c>
      <c r="M6" s="5">
        <f>(International_Education_Costs!$G6+International_Education_Costs!$I6+International_Education_Costs!$J6+International_Education_Costs!$K6)*International_Education_Costs!$L6</f>
        <v>2047</v>
      </c>
      <c r="N6" s="5">
        <f>International_Education_Costs!$G6+International_Education_Costs!$I6+International_Education_Costs!$J6+International_Education_Costs!$K6</f>
        <v>2225</v>
      </c>
      <c r="O6" s="1"/>
      <c r="P6" s="14">
        <f>AVERAGE(K:K)</f>
        <v>700.07717750826907</v>
      </c>
      <c r="Q6" s="1"/>
      <c r="R6" s="1"/>
      <c r="S6" s="1"/>
    </row>
    <row r="7" spans="1:19" x14ac:dyDescent="0.3">
      <c r="A7" s="6" t="s">
        <v>33</v>
      </c>
      <c r="B7" s="6" t="s">
        <v>34</v>
      </c>
      <c r="C7" s="6" t="s">
        <v>35</v>
      </c>
      <c r="D7" s="6" t="s">
        <v>36</v>
      </c>
      <c r="E7" s="6" t="s">
        <v>16</v>
      </c>
      <c r="F7" s="6">
        <v>2</v>
      </c>
      <c r="G7" s="7">
        <v>8900</v>
      </c>
      <c r="H7" s="25">
        <v>76.400000000000006</v>
      </c>
      <c r="I7" s="17">
        <v>1300</v>
      </c>
      <c r="J7" s="7">
        <v>220</v>
      </c>
      <c r="K7" s="7">
        <v>750</v>
      </c>
      <c r="L7" s="7">
        <v>145.80000000000001</v>
      </c>
      <c r="M7" s="7">
        <f>(International_Education_Costs!$G7+International_Education_Costs!$I7+International_Education_Costs!$J7+International_Education_Costs!$K7)*International_Education_Costs!$L7</f>
        <v>1628586.0000000002</v>
      </c>
      <c r="N7" s="7">
        <f>International_Education_Costs!$G7+International_Education_Costs!$I7+International_Education_Costs!$J7+International_Education_Costs!$K7</f>
        <v>11170</v>
      </c>
      <c r="O7" s="1"/>
      <c r="P7" s="1"/>
      <c r="Q7" s="1"/>
      <c r="R7" s="1"/>
      <c r="S7" s="1"/>
    </row>
    <row r="8" spans="1:19" x14ac:dyDescent="0.3">
      <c r="A8" s="4" t="s">
        <v>37</v>
      </c>
      <c r="B8" s="4" t="s">
        <v>38</v>
      </c>
      <c r="C8" s="4" t="s">
        <v>39</v>
      </c>
      <c r="D8" s="4" t="s">
        <v>40</v>
      </c>
      <c r="E8" s="4" t="s">
        <v>16</v>
      </c>
      <c r="F8" s="4">
        <v>1</v>
      </c>
      <c r="G8" s="5">
        <v>15800</v>
      </c>
      <c r="H8" s="24">
        <v>73.2</v>
      </c>
      <c r="I8" s="16">
        <v>1500</v>
      </c>
      <c r="J8" s="5">
        <v>180</v>
      </c>
      <c r="K8" s="5">
        <v>720</v>
      </c>
      <c r="L8" s="5">
        <v>0.92</v>
      </c>
      <c r="M8" s="5">
        <f>(International_Education_Costs!$G8+International_Education_Costs!$I8+International_Education_Costs!$J8+International_Education_Costs!$K8)*International_Education_Costs!$L8</f>
        <v>16744</v>
      </c>
      <c r="N8" s="5">
        <f>International_Education_Costs!$G8+International_Education_Costs!$I8+International_Education_Costs!$J8+International_Education_Costs!$K8</f>
        <v>18200</v>
      </c>
      <c r="O8" s="1"/>
      <c r="P8" s="1"/>
      <c r="Q8" s="1"/>
      <c r="R8" s="1"/>
      <c r="S8" s="1"/>
    </row>
    <row r="9" spans="1:19" x14ac:dyDescent="0.3">
      <c r="A9" s="6" t="s">
        <v>41</v>
      </c>
      <c r="B9" s="6" t="s">
        <v>41</v>
      </c>
      <c r="C9" s="6" t="s">
        <v>42</v>
      </c>
      <c r="D9" s="6" t="s">
        <v>43</v>
      </c>
      <c r="E9" s="6" t="s">
        <v>16</v>
      </c>
      <c r="F9" s="6">
        <v>1.5</v>
      </c>
      <c r="G9" s="7">
        <v>35000</v>
      </c>
      <c r="H9" s="25">
        <v>81.099999999999994</v>
      </c>
      <c r="I9" s="17">
        <v>1900</v>
      </c>
      <c r="J9" s="7">
        <v>90</v>
      </c>
      <c r="K9" s="7">
        <v>800</v>
      </c>
      <c r="L9" s="7">
        <v>1.34</v>
      </c>
      <c r="M9" s="7">
        <f>(International_Education_Costs!$G9+International_Education_Costs!$I9+International_Education_Costs!$J9+International_Education_Costs!$K9)*International_Education_Costs!$L9</f>
        <v>50638.600000000006</v>
      </c>
      <c r="N9" s="7">
        <f>International_Education_Costs!$G9+International_Education_Costs!$I9+International_Education_Costs!$J9+International_Education_Costs!$K9</f>
        <v>37790</v>
      </c>
      <c r="O9" s="1"/>
      <c r="P9" s="1"/>
      <c r="Q9" s="1"/>
      <c r="R9" s="1"/>
      <c r="S9" s="1"/>
    </row>
    <row r="10" spans="1:19" x14ac:dyDescent="0.3">
      <c r="A10" s="4" t="s">
        <v>44</v>
      </c>
      <c r="B10" s="4" t="s">
        <v>45</v>
      </c>
      <c r="C10" s="4" t="s">
        <v>46</v>
      </c>
      <c r="D10" s="4" t="s">
        <v>47</v>
      </c>
      <c r="E10" s="4" t="s">
        <v>16</v>
      </c>
      <c r="F10" s="4">
        <v>2</v>
      </c>
      <c r="G10" s="5">
        <v>4500</v>
      </c>
      <c r="H10" s="24">
        <v>74.599999999999994</v>
      </c>
      <c r="I10" s="16">
        <v>1400</v>
      </c>
      <c r="J10" s="5">
        <v>99</v>
      </c>
      <c r="K10" s="5">
        <v>650</v>
      </c>
      <c r="L10" s="5">
        <v>0.92</v>
      </c>
      <c r="M10" s="5">
        <f>(International_Education_Costs!$G10+International_Education_Costs!$I10+International_Education_Costs!$J10+International_Education_Costs!$K10)*International_Education_Costs!$L10</f>
        <v>6117.08</v>
      </c>
      <c r="N10" s="5">
        <f>International_Education_Costs!$G10+International_Education_Costs!$I10+International_Education_Costs!$J10+International_Education_Costs!$K10</f>
        <v>6649</v>
      </c>
      <c r="O10" s="1"/>
      <c r="P10" s="1"/>
      <c r="Q10" s="1"/>
      <c r="R10" s="1"/>
      <c r="S10" s="1"/>
    </row>
    <row r="11" spans="1:19" x14ac:dyDescent="0.3">
      <c r="A11" s="6" t="s">
        <v>48</v>
      </c>
      <c r="B11" s="6" t="s">
        <v>49</v>
      </c>
      <c r="C11" s="6" t="s">
        <v>50</v>
      </c>
      <c r="D11" s="6" t="s">
        <v>51</v>
      </c>
      <c r="E11" s="6" t="s">
        <v>16</v>
      </c>
      <c r="F11" s="6">
        <v>2</v>
      </c>
      <c r="G11" s="7">
        <v>1460</v>
      </c>
      <c r="H11" s="25">
        <v>91.5</v>
      </c>
      <c r="I11" s="17">
        <v>2100</v>
      </c>
      <c r="J11" s="7">
        <v>88</v>
      </c>
      <c r="K11" s="7">
        <v>1200</v>
      </c>
      <c r="L11" s="7">
        <v>0.89</v>
      </c>
      <c r="M11" s="7">
        <f>(International_Education_Costs!$G11+International_Education_Costs!$I11+International_Education_Costs!$J11+International_Education_Costs!$K11)*International_Education_Costs!$L11</f>
        <v>4314.72</v>
      </c>
      <c r="N11" s="7">
        <f>International_Education_Costs!$G11+International_Education_Costs!$I11+International_Education_Costs!$J11+International_Education_Costs!$K11</f>
        <v>4848</v>
      </c>
      <c r="O11" s="1"/>
      <c r="P11" s="1"/>
      <c r="Q11" s="1"/>
      <c r="R11" s="1"/>
      <c r="S11" s="1"/>
    </row>
    <row r="12" spans="1:19" x14ac:dyDescent="0.3">
      <c r="A12" s="4" t="s">
        <v>52</v>
      </c>
      <c r="B12" s="4" t="s">
        <v>53</v>
      </c>
      <c r="C12" s="4" t="s">
        <v>54</v>
      </c>
      <c r="D12" s="4" t="s">
        <v>55</v>
      </c>
      <c r="E12" s="4" t="s">
        <v>16</v>
      </c>
      <c r="F12" s="4">
        <v>2</v>
      </c>
      <c r="G12" s="5">
        <v>0</v>
      </c>
      <c r="H12" s="24">
        <v>71.8</v>
      </c>
      <c r="I12" s="16">
        <v>1200</v>
      </c>
      <c r="J12" s="5">
        <v>110</v>
      </c>
      <c r="K12" s="5">
        <v>400</v>
      </c>
      <c r="L12" s="5">
        <v>10.45</v>
      </c>
      <c r="M12" s="5">
        <f>(International_Education_Costs!$G12+International_Education_Costs!$I12+International_Education_Costs!$J12+International_Education_Costs!$K12)*International_Education_Costs!$L12</f>
        <v>17869.5</v>
      </c>
      <c r="N12" s="5">
        <f>International_Education_Costs!$G12+International_Education_Costs!$I12+International_Education_Costs!$J12+International_Education_Costs!$K12</f>
        <v>1710</v>
      </c>
      <c r="O12" s="1"/>
      <c r="P12" s="1"/>
      <c r="Q12" s="1"/>
      <c r="R12" s="1"/>
      <c r="S12" s="1"/>
    </row>
    <row r="13" spans="1:19" x14ac:dyDescent="0.3">
      <c r="A13" s="6" t="s">
        <v>56</v>
      </c>
      <c r="B13" s="6" t="s">
        <v>57</v>
      </c>
      <c r="C13" s="6" t="s">
        <v>58</v>
      </c>
      <c r="D13" s="6" t="s">
        <v>59</v>
      </c>
      <c r="E13" s="6" t="s">
        <v>16</v>
      </c>
      <c r="F13" s="6">
        <v>2</v>
      </c>
      <c r="G13" s="7">
        <v>0</v>
      </c>
      <c r="H13" s="25">
        <v>73.400000000000006</v>
      </c>
      <c r="I13" s="17">
        <v>1300</v>
      </c>
      <c r="J13" s="7">
        <v>120</v>
      </c>
      <c r="K13" s="7">
        <v>450</v>
      </c>
      <c r="L13" s="7">
        <v>6.92</v>
      </c>
      <c r="M13" s="7">
        <f>(International_Education_Costs!$G13+International_Education_Costs!$I13+International_Education_Costs!$J13+International_Education_Costs!$K13)*International_Education_Costs!$L13</f>
        <v>12940.4</v>
      </c>
      <c r="N13" s="7">
        <f>International_Education_Costs!$G13+International_Education_Costs!$I13+International_Education_Costs!$J13+International_Education_Costs!$K13</f>
        <v>1870</v>
      </c>
      <c r="O13" s="1"/>
      <c r="P13" s="1"/>
      <c r="Q13" s="1"/>
      <c r="R13" s="1"/>
      <c r="S13" s="1"/>
    </row>
    <row r="14" spans="1:19" x14ac:dyDescent="0.3">
      <c r="A14" s="4" t="s">
        <v>60</v>
      </c>
      <c r="B14" s="4" t="s">
        <v>61</v>
      </c>
      <c r="C14" s="4" t="s">
        <v>62</v>
      </c>
      <c r="D14" s="4" t="s">
        <v>63</v>
      </c>
      <c r="E14" s="4" t="s">
        <v>16</v>
      </c>
      <c r="F14" s="4">
        <v>2.5</v>
      </c>
      <c r="G14" s="5">
        <v>8900</v>
      </c>
      <c r="H14" s="24">
        <v>52.3</v>
      </c>
      <c r="I14" s="16">
        <v>800</v>
      </c>
      <c r="J14" s="5">
        <v>140</v>
      </c>
      <c r="K14" s="5">
        <v>400</v>
      </c>
      <c r="L14" s="5">
        <v>7.18</v>
      </c>
      <c r="M14" s="5">
        <f>(International_Education_Costs!$G14+International_Education_Costs!$I14+International_Education_Costs!$J14+International_Education_Costs!$K14)*International_Education_Costs!$L14</f>
        <v>73523.199999999997</v>
      </c>
      <c r="N14" s="5">
        <f>International_Education_Costs!$G14+International_Education_Costs!$I14+International_Education_Costs!$J14+International_Education_Costs!$K14</f>
        <v>10240</v>
      </c>
      <c r="O14" s="1"/>
      <c r="P14" s="1"/>
      <c r="Q14" s="1"/>
      <c r="R14" s="1"/>
      <c r="S14" s="1"/>
    </row>
    <row r="15" spans="1:19" x14ac:dyDescent="0.3">
      <c r="A15" s="6" t="s">
        <v>64</v>
      </c>
      <c r="B15" s="6" t="s">
        <v>65</v>
      </c>
      <c r="C15" s="6" t="s">
        <v>66</v>
      </c>
      <c r="D15" s="6" t="s">
        <v>67</v>
      </c>
      <c r="E15" s="6" t="s">
        <v>16</v>
      </c>
      <c r="F15" s="6">
        <v>2</v>
      </c>
      <c r="G15" s="7">
        <v>7200</v>
      </c>
      <c r="H15" s="25">
        <v>68.7</v>
      </c>
      <c r="I15" s="17">
        <v>900</v>
      </c>
      <c r="J15" s="7">
        <v>130</v>
      </c>
      <c r="K15" s="7">
        <v>500</v>
      </c>
      <c r="L15" s="7">
        <v>1320.5</v>
      </c>
      <c r="M15" s="7">
        <f>(International_Education_Costs!$G15+International_Education_Costs!$I15+International_Education_Costs!$J15+International_Education_Costs!$K15)*International_Education_Costs!$L15</f>
        <v>11527965</v>
      </c>
      <c r="N15" s="7">
        <f>International_Education_Costs!$G15+International_Education_Costs!$I15+International_Education_Costs!$J15+International_Education_Costs!$K15</f>
        <v>8730</v>
      </c>
      <c r="O15" s="1"/>
      <c r="P15" s="1"/>
      <c r="Q15" s="1"/>
      <c r="R15" s="1"/>
      <c r="S15" s="1"/>
    </row>
    <row r="16" spans="1:19" x14ac:dyDescent="0.3">
      <c r="A16" s="4" t="s">
        <v>68</v>
      </c>
      <c r="B16" s="4" t="s">
        <v>69</v>
      </c>
      <c r="C16" s="4" t="s">
        <v>70</v>
      </c>
      <c r="D16" s="4" t="s">
        <v>71</v>
      </c>
      <c r="E16" s="4" t="s">
        <v>16</v>
      </c>
      <c r="F16" s="4">
        <v>1</v>
      </c>
      <c r="G16" s="5">
        <v>28900</v>
      </c>
      <c r="H16" s="24">
        <v>72.900000000000006</v>
      </c>
      <c r="I16" s="16">
        <v>1600</v>
      </c>
      <c r="J16" s="5">
        <v>150</v>
      </c>
      <c r="K16" s="5">
        <v>650</v>
      </c>
      <c r="L16" s="5">
        <v>0.92</v>
      </c>
      <c r="M16" s="5">
        <f>(International_Education_Costs!$G16+International_Education_Costs!$I16+International_Education_Costs!$J16+International_Education_Costs!$K16)*International_Education_Costs!$L16</f>
        <v>28796</v>
      </c>
      <c r="N16" s="5">
        <f>International_Education_Costs!$G16+International_Education_Costs!$I16+International_Education_Costs!$J16+International_Education_Costs!$K16</f>
        <v>31300</v>
      </c>
      <c r="O16" s="1"/>
      <c r="P16" s="1"/>
      <c r="Q16" s="1"/>
      <c r="R16" s="1"/>
      <c r="S16" s="1"/>
    </row>
    <row r="17" spans="1:19" x14ac:dyDescent="0.3">
      <c r="A17" s="6" t="s">
        <v>64</v>
      </c>
      <c r="B17" s="6" t="s">
        <v>72</v>
      </c>
      <c r="C17" s="6" t="s">
        <v>73</v>
      </c>
      <c r="D17" s="6" t="s">
        <v>74</v>
      </c>
      <c r="E17" s="6" t="s">
        <v>75</v>
      </c>
      <c r="F17" s="6">
        <v>4</v>
      </c>
      <c r="G17" s="7">
        <v>5900</v>
      </c>
      <c r="H17" s="25">
        <v>62.4</v>
      </c>
      <c r="I17" s="17">
        <v>700</v>
      </c>
      <c r="J17" s="7">
        <v>130</v>
      </c>
      <c r="K17" s="7">
        <v>500</v>
      </c>
      <c r="L17" s="7">
        <v>1320.5</v>
      </c>
      <c r="M17" s="7">
        <f>(International_Education_Costs!$G17+International_Education_Costs!$I17+International_Education_Costs!$J17+International_Education_Costs!$K17)*International_Education_Costs!$L17</f>
        <v>9547215</v>
      </c>
      <c r="N17" s="7">
        <f>International_Education_Costs!$G17+International_Education_Costs!$I17+International_Education_Costs!$J17+International_Education_Costs!$K17</f>
        <v>7230</v>
      </c>
      <c r="O17" s="1"/>
      <c r="P17" s="1"/>
      <c r="Q17" s="1"/>
      <c r="R17" s="1"/>
      <c r="S17" s="1"/>
    </row>
    <row r="18" spans="1:19" x14ac:dyDescent="0.3">
      <c r="A18" s="4" t="s">
        <v>76</v>
      </c>
      <c r="B18" s="4" t="s">
        <v>77</v>
      </c>
      <c r="C18" s="4" t="s">
        <v>78</v>
      </c>
      <c r="D18" s="4" t="s">
        <v>79</v>
      </c>
      <c r="E18" s="4" t="s">
        <v>75</v>
      </c>
      <c r="F18" s="4">
        <v>3</v>
      </c>
      <c r="G18" s="5">
        <v>28500</v>
      </c>
      <c r="H18" s="24">
        <v>69.8</v>
      </c>
      <c r="I18" s="16">
        <v>1200</v>
      </c>
      <c r="J18" s="5">
        <v>245</v>
      </c>
      <c r="K18" s="5">
        <v>600</v>
      </c>
      <c r="L18" s="5">
        <v>1.64</v>
      </c>
      <c r="M18" s="5">
        <f>(International_Education_Costs!$G18+International_Education_Costs!$I18+International_Education_Costs!$J18+International_Education_Costs!$K18)*International_Education_Costs!$L18</f>
        <v>50093.799999999996</v>
      </c>
      <c r="N18" s="5">
        <f>International_Education_Costs!$G18+International_Education_Costs!$I18+International_Education_Costs!$J18+International_Education_Costs!$K18</f>
        <v>30545</v>
      </c>
      <c r="O18" s="1"/>
      <c r="P18" s="1"/>
      <c r="Q18" s="1"/>
      <c r="R18" s="1"/>
      <c r="S18" s="1"/>
    </row>
    <row r="19" spans="1:19" x14ac:dyDescent="0.3">
      <c r="A19" s="6" t="s">
        <v>80</v>
      </c>
      <c r="B19" s="6" t="s">
        <v>81</v>
      </c>
      <c r="C19" s="6" t="s">
        <v>82</v>
      </c>
      <c r="D19" s="6" t="s">
        <v>83</v>
      </c>
      <c r="E19" s="6" t="s">
        <v>75</v>
      </c>
      <c r="F19" s="6">
        <v>3</v>
      </c>
      <c r="G19" s="7">
        <v>1500</v>
      </c>
      <c r="H19" s="25">
        <v>67.400000000000006</v>
      </c>
      <c r="I19" s="17">
        <v>950</v>
      </c>
      <c r="J19" s="7">
        <v>160</v>
      </c>
      <c r="K19" s="7">
        <v>500</v>
      </c>
      <c r="L19" s="7">
        <v>0.92</v>
      </c>
      <c r="M19" s="7">
        <f>(International_Education_Costs!$G19+International_Education_Costs!$I19+International_Education_Costs!$J19+International_Education_Costs!$K19)*International_Education_Costs!$L19</f>
        <v>2861.2000000000003</v>
      </c>
      <c r="N19" s="7">
        <f>International_Education_Costs!$G19+International_Education_Costs!$I19+International_Education_Costs!$J19+International_Education_Costs!$K19</f>
        <v>3110</v>
      </c>
      <c r="O19" s="1"/>
      <c r="P19" s="1"/>
      <c r="Q19" s="1"/>
      <c r="R19" s="1"/>
      <c r="S19" s="1"/>
    </row>
    <row r="20" spans="1:19" x14ac:dyDescent="0.3">
      <c r="A20" s="4" t="s">
        <v>84</v>
      </c>
      <c r="B20" s="4" t="s">
        <v>85</v>
      </c>
      <c r="C20" s="4" t="s">
        <v>86</v>
      </c>
      <c r="D20" s="4" t="s">
        <v>87</v>
      </c>
      <c r="E20" s="4" t="s">
        <v>75</v>
      </c>
      <c r="F20" s="4">
        <v>3</v>
      </c>
      <c r="G20" s="5">
        <v>3500</v>
      </c>
      <c r="H20" s="24">
        <v>68.900000000000006</v>
      </c>
      <c r="I20" s="16">
        <v>1000</v>
      </c>
      <c r="J20" s="5">
        <v>180</v>
      </c>
      <c r="K20" s="5">
        <v>550</v>
      </c>
      <c r="L20" s="5">
        <v>0.92</v>
      </c>
      <c r="M20" s="5">
        <f>(International_Education_Costs!$G20+International_Education_Costs!$I20+International_Education_Costs!$J20+International_Education_Costs!$K20)*International_Education_Costs!$L20</f>
        <v>4811.6000000000004</v>
      </c>
      <c r="N20" s="5">
        <f>International_Education_Costs!$G20+International_Education_Costs!$I20+International_Education_Costs!$J20+International_Education_Costs!$K20</f>
        <v>5230</v>
      </c>
      <c r="O20" s="1"/>
      <c r="P20" s="1"/>
      <c r="Q20" s="1"/>
      <c r="R20" s="1"/>
      <c r="S20" s="1"/>
    </row>
    <row r="21" spans="1:19" x14ac:dyDescent="0.3">
      <c r="A21" s="6" t="s">
        <v>12</v>
      </c>
      <c r="B21" s="6" t="s">
        <v>88</v>
      </c>
      <c r="C21" s="6" t="s">
        <v>89</v>
      </c>
      <c r="D21" s="6" t="s">
        <v>90</v>
      </c>
      <c r="E21" s="6" t="s">
        <v>75</v>
      </c>
      <c r="F21" s="6">
        <v>4</v>
      </c>
      <c r="G21" s="7">
        <v>52300</v>
      </c>
      <c r="H21" s="25">
        <v>72.5</v>
      </c>
      <c r="I21" s="17">
        <v>1800</v>
      </c>
      <c r="J21" s="7">
        <v>160</v>
      </c>
      <c r="K21" s="7">
        <v>1500</v>
      </c>
      <c r="L21" s="7">
        <v>1</v>
      </c>
      <c r="M21" s="7">
        <f>(International_Education_Costs!$G21+International_Education_Costs!$I21+International_Education_Costs!$J21+International_Education_Costs!$K21)*International_Education_Costs!$L21</f>
        <v>55760</v>
      </c>
      <c r="N21" s="7">
        <f>International_Education_Costs!$G21+International_Education_Costs!$I21+International_Education_Costs!$J21+International_Education_Costs!$K21</f>
        <v>55760</v>
      </c>
      <c r="O21" s="1"/>
      <c r="P21" s="1"/>
      <c r="Q21" s="1"/>
      <c r="R21" s="1"/>
      <c r="S21" s="1"/>
    </row>
    <row r="22" spans="1:19" x14ac:dyDescent="0.3">
      <c r="A22" s="4" t="s">
        <v>12</v>
      </c>
      <c r="B22" s="4" t="s">
        <v>91</v>
      </c>
      <c r="C22" s="4" t="s">
        <v>92</v>
      </c>
      <c r="D22" s="4" t="s">
        <v>93</v>
      </c>
      <c r="E22" s="4" t="s">
        <v>75</v>
      </c>
      <c r="F22" s="4">
        <v>4</v>
      </c>
      <c r="G22" s="5">
        <v>43800</v>
      </c>
      <c r="H22" s="24">
        <v>71.5</v>
      </c>
      <c r="I22" s="16">
        <v>1700</v>
      </c>
      <c r="J22" s="5">
        <v>160</v>
      </c>
      <c r="K22" s="5">
        <v>1500</v>
      </c>
      <c r="L22" s="5">
        <v>1</v>
      </c>
      <c r="M22" s="5">
        <f>(International_Education_Costs!$G22+International_Education_Costs!$I22+International_Education_Costs!$J22+International_Education_Costs!$K22)*International_Education_Costs!$L22</f>
        <v>47160</v>
      </c>
      <c r="N22" s="5">
        <f>International_Education_Costs!$G22+International_Education_Costs!$I22+International_Education_Costs!$J22+International_Education_Costs!$K22</f>
        <v>47160</v>
      </c>
      <c r="O22" s="1"/>
      <c r="P22" s="1"/>
      <c r="Q22" s="1"/>
      <c r="R22" s="1"/>
      <c r="S22" s="1"/>
    </row>
    <row r="23" spans="1:19" x14ac:dyDescent="0.3">
      <c r="A23" s="6" t="s">
        <v>12</v>
      </c>
      <c r="B23" s="6" t="s">
        <v>94</v>
      </c>
      <c r="C23" s="6" t="s">
        <v>95</v>
      </c>
      <c r="D23" s="6" t="s">
        <v>96</v>
      </c>
      <c r="E23" s="6" t="s">
        <v>75</v>
      </c>
      <c r="F23" s="6">
        <v>4</v>
      </c>
      <c r="G23" s="7">
        <v>40900</v>
      </c>
      <c r="H23" s="25">
        <v>72.400000000000006</v>
      </c>
      <c r="I23" s="17">
        <v>1600</v>
      </c>
      <c r="J23" s="7">
        <v>160</v>
      </c>
      <c r="K23" s="7">
        <v>1500</v>
      </c>
      <c r="L23" s="7">
        <v>1</v>
      </c>
      <c r="M23" s="7">
        <f>(International_Education_Costs!$G23+International_Education_Costs!$I23+International_Education_Costs!$J23+International_Education_Costs!$K23)*International_Education_Costs!$L23</f>
        <v>44160</v>
      </c>
      <c r="N23" s="7">
        <f>International_Education_Costs!$G23+International_Education_Costs!$I23+International_Education_Costs!$J23+International_Education_Costs!$K23</f>
        <v>44160</v>
      </c>
      <c r="O23" s="1"/>
      <c r="P23" s="1"/>
      <c r="Q23" s="1"/>
      <c r="R23" s="1"/>
      <c r="S23" s="1"/>
    </row>
    <row r="24" spans="1:19" x14ac:dyDescent="0.3">
      <c r="A24" s="4" t="s">
        <v>17</v>
      </c>
      <c r="B24" s="4" t="s">
        <v>97</v>
      </c>
      <c r="C24" s="4" t="s">
        <v>98</v>
      </c>
      <c r="D24" s="4" t="s">
        <v>99</v>
      </c>
      <c r="E24" s="4" t="s">
        <v>75</v>
      </c>
      <c r="F24" s="4">
        <v>3</v>
      </c>
      <c r="G24" s="5">
        <v>31200</v>
      </c>
      <c r="H24" s="24">
        <v>69.8</v>
      </c>
      <c r="I24" s="16">
        <v>1100</v>
      </c>
      <c r="J24" s="5">
        <v>485</v>
      </c>
      <c r="K24" s="5">
        <v>800</v>
      </c>
      <c r="L24" s="5">
        <v>0.79</v>
      </c>
      <c r="M24" s="5">
        <f>(International_Education_Costs!$G24+International_Education_Costs!$I24+International_Education_Costs!$J24+International_Education_Costs!$K24)*International_Education_Costs!$L24</f>
        <v>26532.15</v>
      </c>
      <c r="N24" s="5">
        <f>International_Education_Costs!$G24+International_Education_Costs!$I24+International_Education_Costs!$J24+International_Education_Costs!$K24</f>
        <v>33585</v>
      </c>
      <c r="O24" s="1"/>
      <c r="P24" s="1"/>
      <c r="Q24" s="1"/>
      <c r="R24" s="1"/>
      <c r="S24" s="1"/>
    </row>
    <row r="25" spans="1:19" x14ac:dyDescent="0.3">
      <c r="A25" s="6" t="s">
        <v>21</v>
      </c>
      <c r="B25" s="6" t="s">
        <v>100</v>
      </c>
      <c r="C25" s="6" t="s">
        <v>101</v>
      </c>
      <c r="D25" s="6" t="s">
        <v>102</v>
      </c>
      <c r="E25" s="6" t="s">
        <v>75</v>
      </c>
      <c r="F25" s="6">
        <v>4</v>
      </c>
      <c r="G25" s="7">
        <v>28900</v>
      </c>
      <c r="H25" s="25">
        <v>68.5</v>
      </c>
      <c r="I25" s="17">
        <v>1300</v>
      </c>
      <c r="J25" s="7">
        <v>235</v>
      </c>
      <c r="K25" s="7">
        <v>900</v>
      </c>
      <c r="L25" s="7">
        <v>1.35</v>
      </c>
      <c r="M25" s="7">
        <f>(International_Education_Costs!$G25+International_Education_Costs!$I25+International_Education_Costs!$J25+International_Education_Costs!$K25)*International_Education_Costs!$L25</f>
        <v>42302.25</v>
      </c>
      <c r="N25" s="7">
        <f>International_Education_Costs!$G25+International_Education_Costs!$I25+International_Education_Costs!$J25+International_Education_Costs!$K25</f>
        <v>31335</v>
      </c>
      <c r="O25" s="1"/>
      <c r="P25" s="1"/>
      <c r="Q25" s="1"/>
      <c r="R25" s="1"/>
      <c r="S25" s="1"/>
    </row>
    <row r="26" spans="1:19" x14ac:dyDescent="0.3">
      <c r="A26" s="4" t="s">
        <v>103</v>
      </c>
      <c r="B26" s="4" t="s">
        <v>103</v>
      </c>
      <c r="C26" s="4" t="s">
        <v>104</v>
      </c>
      <c r="D26" s="4" t="s">
        <v>43</v>
      </c>
      <c r="E26" s="4" t="s">
        <v>75</v>
      </c>
      <c r="F26" s="4">
        <v>4</v>
      </c>
      <c r="G26" s="5">
        <v>22000</v>
      </c>
      <c r="H26" s="24">
        <v>78.599999999999994</v>
      </c>
      <c r="I26" s="16">
        <v>1500</v>
      </c>
      <c r="J26" s="5">
        <v>120</v>
      </c>
      <c r="K26" s="5">
        <v>600</v>
      </c>
      <c r="L26" s="5">
        <v>7.82</v>
      </c>
      <c r="M26" s="5">
        <f>(International_Education_Costs!$G26+International_Education_Costs!$I26+International_Education_Costs!$J26+International_Education_Costs!$K26)*International_Education_Costs!$L26</f>
        <v>189400.4</v>
      </c>
      <c r="N26" s="5">
        <f>International_Education_Costs!$G26+International_Education_Costs!$I26+International_Education_Costs!$J26+International_Education_Costs!$K26</f>
        <v>24220</v>
      </c>
      <c r="O26" s="1"/>
      <c r="P26" s="1"/>
      <c r="Q26" s="1"/>
      <c r="R26" s="1"/>
      <c r="S26" s="1"/>
    </row>
    <row r="27" spans="1:19" x14ac:dyDescent="0.3">
      <c r="A27" s="6" t="s">
        <v>105</v>
      </c>
      <c r="B27" s="6" t="s">
        <v>106</v>
      </c>
      <c r="C27" s="6" t="s">
        <v>107</v>
      </c>
      <c r="D27" s="6" t="s">
        <v>108</v>
      </c>
      <c r="E27" s="6" t="s">
        <v>75</v>
      </c>
      <c r="F27" s="6">
        <v>3</v>
      </c>
      <c r="G27" s="7">
        <v>3500</v>
      </c>
      <c r="H27" s="25">
        <v>58.4</v>
      </c>
      <c r="I27" s="17">
        <v>800</v>
      </c>
      <c r="J27" s="7">
        <v>120</v>
      </c>
      <c r="K27" s="7">
        <v>450</v>
      </c>
      <c r="L27" s="7">
        <v>0.92</v>
      </c>
      <c r="M27" s="7">
        <f>(International_Education_Costs!$G27+International_Education_Costs!$I27+International_Education_Costs!$J27+International_Education_Costs!$K27)*International_Education_Costs!$L27</f>
        <v>4480.4000000000005</v>
      </c>
      <c r="N27" s="7">
        <f>International_Education_Costs!$G27+International_Education_Costs!$I27+International_Education_Costs!$J27+International_Education_Costs!$K27</f>
        <v>4870</v>
      </c>
      <c r="O27" s="1"/>
      <c r="P27" s="1"/>
      <c r="Q27" s="1"/>
      <c r="R27" s="1"/>
      <c r="S27" s="1"/>
    </row>
    <row r="28" spans="1:19" x14ac:dyDescent="0.3">
      <c r="A28" s="4" t="s">
        <v>109</v>
      </c>
      <c r="B28" s="4" t="s">
        <v>110</v>
      </c>
      <c r="C28" s="4" t="s">
        <v>111</v>
      </c>
      <c r="D28" s="4" t="s">
        <v>15</v>
      </c>
      <c r="E28" s="4" t="s">
        <v>75</v>
      </c>
      <c r="F28" s="4">
        <v>3</v>
      </c>
      <c r="G28" s="5">
        <v>12000</v>
      </c>
      <c r="H28" s="24">
        <v>76.2</v>
      </c>
      <c r="I28" s="16">
        <v>1200</v>
      </c>
      <c r="J28" s="5">
        <v>150</v>
      </c>
      <c r="K28" s="5">
        <v>800</v>
      </c>
      <c r="L28" s="5">
        <v>3.72</v>
      </c>
      <c r="M28" s="5">
        <f>(International_Education_Costs!$G28+International_Education_Costs!$I28+International_Education_Costs!$J28+International_Education_Costs!$K28)*International_Education_Costs!$L28</f>
        <v>52638</v>
      </c>
      <c r="N28" s="5">
        <f>International_Education_Costs!$G28+International_Education_Costs!$I28+International_Education_Costs!$J28+International_Education_Costs!$K28</f>
        <v>14150</v>
      </c>
    </row>
    <row r="29" spans="1:19" x14ac:dyDescent="0.3">
      <c r="A29" s="6" t="s">
        <v>112</v>
      </c>
      <c r="B29" s="6" t="s">
        <v>113</v>
      </c>
      <c r="C29" s="6" t="s">
        <v>114</v>
      </c>
      <c r="D29" s="6" t="s">
        <v>115</v>
      </c>
      <c r="E29" s="6" t="s">
        <v>75</v>
      </c>
      <c r="F29" s="6">
        <v>4</v>
      </c>
      <c r="G29" s="7">
        <v>5200</v>
      </c>
      <c r="H29" s="25">
        <v>62.8</v>
      </c>
      <c r="I29" s="17">
        <v>700</v>
      </c>
      <c r="J29" s="7">
        <v>140</v>
      </c>
      <c r="K29" s="7">
        <v>450</v>
      </c>
      <c r="L29" s="7">
        <v>31.2</v>
      </c>
      <c r="M29" s="7">
        <f>(International_Education_Costs!$G29+International_Education_Costs!$I29+International_Education_Costs!$J29+International_Education_Costs!$K29)*International_Education_Costs!$L29</f>
        <v>202488</v>
      </c>
      <c r="N29" s="7">
        <f>International_Education_Costs!$G29+International_Education_Costs!$I29+International_Education_Costs!$J29+International_Education_Costs!$K29</f>
        <v>6490</v>
      </c>
    </row>
    <row r="30" spans="1:19" x14ac:dyDescent="0.3">
      <c r="A30" s="4" t="s">
        <v>116</v>
      </c>
      <c r="B30" s="4" t="s">
        <v>117</v>
      </c>
      <c r="C30" s="4" t="s">
        <v>118</v>
      </c>
      <c r="D30" s="4" t="s">
        <v>119</v>
      </c>
      <c r="E30" s="4" t="s">
        <v>75</v>
      </c>
      <c r="F30" s="4">
        <v>3</v>
      </c>
      <c r="G30" s="5">
        <v>9800</v>
      </c>
      <c r="H30" s="24">
        <v>54.6</v>
      </c>
      <c r="I30" s="16">
        <v>650</v>
      </c>
      <c r="J30" s="5">
        <v>100</v>
      </c>
      <c r="K30" s="5">
        <v>400</v>
      </c>
      <c r="L30" s="5">
        <v>22.5</v>
      </c>
      <c r="M30" s="5">
        <f>(International_Education_Costs!$G30+International_Education_Costs!$I30+International_Education_Costs!$J30+International_Education_Costs!$K30)*International_Education_Costs!$L30</f>
        <v>246375</v>
      </c>
      <c r="N30" s="5">
        <f>International_Education_Costs!$G30+International_Education_Costs!$I30+International_Education_Costs!$J30+International_Education_Costs!$K30</f>
        <v>10950</v>
      </c>
    </row>
    <row r="31" spans="1:19" x14ac:dyDescent="0.3">
      <c r="A31" s="6" t="s">
        <v>12</v>
      </c>
      <c r="B31" s="6" t="s">
        <v>120</v>
      </c>
      <c r="C31" s="6" t="s">
        <v>121</v>
      </c>
      <c r="D31" s="6" t="s">
        <v>15</v>
      </c>
      <c r="E31" s="6" t="s">
        <v>122</v>
      </c>
      <c r="F31" s="6">
        <v>5</v>
      </c>
      <c r="G31" s="7">
        <v>54200</v>
      </c>
      <c r="H31" s="25">
        <v>89.5</v>
      </c>
      <c r="I31" s="17">
        <v>2300</v>
      </c>
      <c r="J31" s="7">
        <v>160</v>
      </c>
      <c r="K31" s="7">
        <v>1500</v>
      </c>
      <c r="L31" s="7">
        <v>1</v>
      </c>
      <c r="M31" s="7">
        <f>(International_Education_Costs!$G31+International_Education_Costs!$I31+International_Education_Costs!$J31+International_Education_Costs!$K31)*International_Education_Costs!$L31</f>
        <v>58160</v>
      </c>
      <c r="N31" s="7">
        <f>International_Education_Costs!$G31+International_Education_Costs!$I31+International_Education_Costs!$J31+International_Education_Costs!$K31</f>
        <v>58160</v>
      </c>
    </row>
    <row r="32" spans="1:19" x14ac:dyDescent="0.3">
      <c r="A32" s="4" t="s">
        <v>12</v>
      </c>
      <c r="B32" s="4" t="s">
        <v>123</v>
      </c>
      <c r="C32" s="4" t="s">
        <v>124</v>
      </c>
      <c r="D32" s="4" t="s">
        <v>125</v>
      </c>
      <c r="E32" s="4" t="s">
        <v>122</v>
      </c>
      <c r="F32" s="4">
        <v>5</v>
      </c>
      <c r="G32" s="5">
        <v>53800</v>
      </c>
      <c r="H32" s="24">
        <v>83.2</v>
      </c>
      <c r="I32" s="16">
        <v>2200</v>
      </c>
      <c r="J32" s="5">
        <v>160</v>
      </c>
      <c r="K32" s="5">
        <v>1500</v>
      </c>
      <c r="L32" s="5">
        <v>1</v>
      </c>
      <c r="M32" s="5">
        <f>(International_Education_Costs!$G32+International_Education_Costs!$I32+International_Education_Costs!$J32+International_Education_Costs!$K32)*International_Education_Costs!$L32</f>
        <v>57660</v>
      </c>
      <c r="N32" s="5">
        <f>International_Education_Costs!$G32+International_Education_Costs!$I32+International_Education_Costs!$J32+International_Education_Costs!$K32</f>
        <v>57660</v>
      </c>
    </row>
    <row r="33" spans="1:14" x14ac:dyDescent="0.3">
      <c r="A33" s="6" t="s">
        <v>17</v>
      </c>
      <c r="B33" s="6" t="s">
        <v>126</v>
      </c>
      <c r="C33" s="6" t="s">
        <v>127</v>
      </c>
      <c r="D33" s="6" t="s">
        <v>87</v>
      </c>
      <c r="E33" s="6" t="s">
        <v>122</v>
      </c>
      <c r="F33" s="6">
        <v>4</v>
      </c>
      <c r="G33" s="7">
        <v>29800</v>
      </c>
      <c r="H33" s="25">
        <v>74.5</v>
      </c>
      <c r="I33" s="17">
        <v>1600</v>
      </c>
      <c r="J33" s="7">
        <v>485</v>
      </c>
      <c r="K33" s="7">
        <v>800</v>
      </c>
      <c r="L33" s="7">
        <v>0.79</v>
      </c>
      <c r="M33" s="7">
        <f>(International_Education_Costs!$G33+International_Education_Costs!$I33+International_Education_Costs!$J33+International_Education_Costs!$K33)*International_Education_Costs!$L33</f>
        <v>25821.15</v>
      </c>
      <c r="N33" s="7">
        <f>International_Education_Costs!$G33+International_Education_Costs!$I33+International_Education_Costs!$J33+International_Education_Costs!$K33</f>
        <v>32685</v>
      </c>
    </row>
    <row r="34" spans="1:14" x14ac:dyDescent="0.3">
      <c r="A34" s="4" t="s">
        <v>17</v>
      </c>
      <c r="B34" s="4" t="s">
        <v>13</v>
      </c>
      <c r="C34" s="4" t="s">
        <v>128</v>
      </c>
      <c r="D34" s="4" t="s">
        <v>51</v>
      </c>
      <c r="E34" s="4" t="s">
        <v>122</v>
      </c>
      <c r="F34" s="4">
        <v>4</v>
      </c>
      <c r="G34" s="5">
        <v>31200</v>
      </c>
      <c r="H34" s="24">
        <v>75.2</v>
      </c>
      <c r="I34" s="16">
        <v>1700</v>
      </c>
      <c r="J34" s="5">
        <v>485</v>
      </c>
      <c r="K34" s="5">
        <v>800</v>
      </c>
      <c r="L34" s="5">
        <v>0.79</v>
      </c>
      <c r="M34" s="5">
        <f>(International_Education_Costs!$G34+International_Education_Costs!$I34+International_Education_Costs!$J34+International_Education_Costs!$K34)*International_Education_Costs!$L34</f>
        <v>27006.15</v>
      </c>
      <c r="N34" s="5">
        <f>International_Education_Costs!$G34+International_Education_Costs!$I34+International_Education_Costs!$J34+International_Education_Costs!$K34</f>
        <v>34185</v>
      </c>
    </row>
    <row r="35" spans="1:14" x14ac:dyDescent="0.3">
      <c r="A35" s="6" t="s">
        <v>29</v>
      </c>
      <c r="B35" s="6" t="s">
        <v>129</v>
      </c>
      <c r="C35" s="6" t="s">
        <v>130</v>
      </c>
      <c r="D35" s="6" t="s">
        <v>131</v>
      </c>
      <c r="E35" s="6" t="s">
        <v>122</v>
      </c>
      <c r="F35" s="6">
        <v>3</v>
      </c>
      <c r="G35" s="7">
        <v>500</v>
      </c>
      <c r="H35" s="25">
        <v>68.400000000000006</v>
      </c>
      <c r="I35" s="17">
        <v>900</v>
      </c>
      <c r="J35" s="7">
        <v>75</v>
      </c>
      <c r="K35" s="7">
        <v>550</v>
      </c>
      <c r="L35" s="7">
        <v>0.92</v>
      </c>
      <c r="M35" s="7">
        <f>(International_Education_Costs!$G35+International_Education_Costs!$I35+International_Education_Costs!$J35+International_Education_Costs!$K35)*International_Education_Costs!$L35</f>
        <v>1863</v>
      </c>
      <c r="N35" s="7">
        <f>International_Education_Costs!$G35+International_Education_Costs!$I35+International_Education_Costs!$J35+International_Education_Costs!$K35</f>
        <v>2025</v>
      </c>
    </row>
    <row r="36" spans="1:14" x14ac:dyDescent="0.3">
      <c r="A36" s="4" t="s">
        <v>48</v>
      </c>
      <c r="B36" s="4" t="s">
        <v>132</v>
      </c>
      <c r="C36" s="4" t="s">
        <v>133</v>
      </c>
      <c r="D36" s="4" t="s">
        <v>134</v>
      </c>
      <c r="E36" s="4" t="s">
        <v>122</v>
      </c>
      <c r="F36" s="4">
        <v>4</v>
      </c>
      <c r="G36" s="5">
        <v>1500</v>
      </c>
      <c r="H36" s="24">
        <v>88.6</v>
      </c>
      <c r="I36" s="16">
        <v>1800</v>
      </c>
      <c r="J36" s="5">
        <v>88</v>
      </c>
      <c r="K36" s="5">
        <v>1200</v>
      </c>
      <c r="L36" s="5">
        <v>0.89</v>
      </c>
      <c r="M36" s="5">
        <f>(International_Education_Costs!$G36+International_Education_Costs!$I36+International_Education_Costs!$J36+International_Education_Costs!$K36)*International_Education_Costs!$L36</f>
        <v>4083.32</v>
      </c>
      <c r="N36" s="5">
        <f>International_Education_Costs!$G36+International_Education_Costs!$I36+International_Education_Costs!$J36+International_Education_Costs!$K36</f>
        <v>4588</v>
      </c>
    </row>
    <row r="37" spans="1:14" x14ac:dyDescent="0.3">
      <c r="A37" s="6" t="s">
        <v>37</v>
      </c>
      <c r="B37" s="6" t="s">
        <v>135</v>
      </c>
      <c r="C37" s="6" t="s">
        <v>136</v>
      </c>
      <c r="D37" s="6" t="s">
        <v>137</v>
      </c>
      <c r="E37" s="6" t="s">
        <v>122</v>
      </c>
      <c r="F37" s="6">
        <v>4</v>
      </c>
      <c r="G37" s="7">
        <v>4800</v>
      </c>
      <c r="H37" s="25">
        <v>71.8</v>
      </c>
      <c r="I37" s="17">
        <v>1200</v>
      </c>
      <c r="J37" s="7">
        <v>180</v>
      </c>
      <c r="K37" s="7">
        <v>720</v>
      </c>
      <c r="L37" s="7">
        <v>0.92</v>
      </c>
      <c r="M37" s="7">
        <f>(International_Education_Costs!$G37+International_Education_Costs!$I37+International_Education_Costs!$J37+International_Education_Costs!$K37)*International_Education_Costs!$L37</f>
        <v>6348</v>
      </c>
      <c r="N37" s="7">
        <f>International_Education_Costs!$G37+International_Education_Costs!$I37+International_Education_Costs!$J37+International_Education_Costs!$K37</f>
        <v>6900</v>
      </c>
    </row>
    <row r="38" spans="1:14" x14ac:dyDescent="0.3">
      <c r="A38" s="4" t="s">
        <v>41</v>
      </c>
      <c r="B38" s="4" t="s">
        <v>41</v>
      </c>
      <c r="C38" s="4" t="s">
        <v>138</v>
      </c>
      <c r="D38" s="4" t="s">
        <v>20</v>
      </c>
      <c r="E38" s="4" t="s">
        <v>122</v>
      </c>
      <c r="F38" s="4">
        <v>4</v>
      </c>
      <c r="G38" s="5">
        <v>8900</v>
      </c>
      <c r="H38" s="24">
        <v>81.5</v>
      </c>
      <c r="I38" s="16">
        <v>1600</v>
      </c>
      <c r="J38" s="5">
        <v>90</v>
      </c>
      <c r="K38" s="5">
        <v>800</v>
      </c>
      <c r="L38" s="5">
        <v>1.34</v>
      </c>
      <c r="M38" s="5">
        <f>(International_Education_Costs!$G38+International_Education_Costs!$I38+International_Education_Costs!$J38+International_Education_Costs!$K38)*International_Education_Costs!$L38</f>
        <v>15262.6</v>
      </c>
      <c r="N38" s="5">
        <f>International_Education_Costs!$G38+International_Education_Costs!$I38+International_Education_Costs!$J38+International_Education_Costs!$K38</f>
        <v>11390</v>
      </c>
    </row>
    <row r="39" spans="1:14" x14ac:dyDescent="0.3">
      <c r="A39" s="6" t="s">
        <v>21</v>
      </c>
      <c r="B39" s="6" t="s">
        <v>139</v>
      </c>
      <c r="C39" s="6" t="s">
        <v>140</v>
      </c>
      <c r="D39" s="6" t="s">
        <v>141</v>
      </c>
      <c r="E39" s="6" t="s">
        <v>122</v>
      </c>
      <c r="F39" s="6">
        <v>4</v>
      </c>
      <c r="G39" s="7">
        <v>21500</v>
      </c>
      <c r="H39" s="25">
        <v>69.8</v>
      </c>
      <c r="I39" s="17">
        <v>1300</v>
      </c>
      <c r="J39" s="7">
        <v>235</v>
      </c>
      <c r="K39" s="7">
        <v>900</v>
      </c>
      <c r="L39" s="7">
        <v>1.35</v>
      </c>
      <c r="M39" s="7">
        <f>(International_Education_Costs!$G39+International_Education_Costs!$I39+International_Education_Costs!$J39+International_Education_Costs!$K39)*International_Education_Costs!$L39</f>
        <v>32312.250000000004</v>
      </c>
      <c r="N39" s="7">
        <f>International_Education_Costs!$G39+International_Education_Costs!$I39+International_Education_Costs!$J39+International_Education_Costs!$K39</f>
        <v>23935</v>
      </c>
    </row>
    <row r="40" spans="1:14" x14ac:dyDescent="0.3">
      <c r="A40" s="4" t="s">
        <v>25</v>
      </c>
      <c r="B40" s="4" t="s">
        <v>142</v>
      </c>
      <c r="C40" s="4" t="s">
        <v>143</v>
      </c>
      <c r="D40" s="4" t="s">
        <v>144</v>
      </c>
      <c r="E40" s="4" t="s">
        <v>122</v>
      </c>
      <c r="F40" s="4">
        <v>4</v>
      </c>
      <c r="G40" s="5">
        <v>29800</v>
      </c>
      <c r="H40" s="24">
        <v>70.2</v>
      </c>
      <c r="I40" s="16">
        <v>1400</v>
      </c>
      <c r="J40" s="5">
        <v>450</v>
      </c>
      <c r="K40" s="5">
        <v>650</v>
      </c>
      <c r="L40" s="5">
        <v>1.52</v>
      </c>
      <c r="M40" s="5">
        <f>(International_Education_Costs!$G40+International_Education_Costs!$I40+International_Education_Costs!$J40+International_Education_Costs!$K40)*International_Education_Costs!$L40</f>
        <v>49096</v>
      </c>
      <c r="N40" s="5">
        <f>International_Education_Costs!$G40+International_Education_Costs!$I40+International_Education_Costs!$J40+International_Education_Costs!$K40</f>
        <v>32300</v>
      </c>
    </row>
    <row r="41" spans="1:14" x14ac:dyDescent="0.3">
      <c r="A41" s="6" t="s">
        <v>52</v>
      </c>
      <c r="B41" s="6" t="s">
        <v>145</v>
      </c>
      <c r="C41" s="6" t="s">
        <v>146</v>
      </c>
      <c r="D41" s="6" t="s">
        <v>147</v>
      </c>
      <c r="E41" s="6" t="s">
        <v>122</v>
      </c>
      <c r="F41" s="6">
        <v>4</v>
      </c>
      <c r="G41" s="7">
        <v>0</v>
      </c>
      <c r="H41" s="25">
        <v>69.5</v>
      </c>
      <c r="I41" s="17">
        <v>1000</v>
      </c>
      <c r="J41" s="7">
        <v>110</v>
      </c>
      <c r="K41" s="7">
        <v>400</v>
      </c>
      <c r="L41" s="7">
        <v>10.45</v>
      </c>
      <c r="M41" s="7">
        <f>(International_Education_Costs!$G41+International_Education_Costs!$I41+International_Education_Costs!$J41+International_Education_Costs!$K41)*International_Education_Costs!$L41</f>
        <v>15779.499999999998</v>
      </c>
      <c r="N41" s="7">
        <f>International_Education_Costs!$G41+International_Education_Costs!$I41+International_Education_Costs!$J41+International_Education_Costs!$K41</f>
        <v>1510</v>
      </c>
    </row>
    <row r="42" spans="1:14" x14ac:dyDescent="0.3">
      <c r="A42" s="4" t="s">
        <v>12</v>
      </c>
      <c r="B42" s="4" t="s">
        <v>148</v>
      </c>
      <c r="C42" s="4" t="s">
        <v>149</v>
      </c>
      <c r="D42" s="4" t="s">
        <v>15</v>
      </c>
      <c r="E42" s="4" t="s">
        <v>75</v>
      </c>
      <c r="F42" s="4">
        <v>4</v>
      </c>
      <c r="G42" s="5">
        <v>44200</v>
      </c>
      <c r="H42" s="24">
        <v>79.5</v>
      </c>
      <c r="I42" s="16">
        <v>1900</v>
      </c>
      <c r="J42" s="5">
        <v>160</v>
      </c>
      <c r="K42" s="5">
        <v>1500</v>
      </c>
      <c r="L42" s="5">
        <v>1</v>
      </c>
      <c r="M42" s="5">
        <f>(International_Education_Costs!$G42+International_Education_Costs!$I42+International_Education_Costs!$J42+International_Education_Costs!$K42)*International_Education_Costs!$L42</f>
        <v>47760</v>
      </c>
      <c r="N42" s="5">
        <f>International_Education_Costs!$G42+International_Education_Costs!$I42+International_Education_Costs!$J42+International_Education_Costs!$K42</f>
        <v>47760</v>
      </c>
    </row>
    <row r="43" spans="1:14" x14ac:dyDescent="0.3">
      <c r="A43" s="6" t="s">
        <v>12</v>
      </c>
      <c r="B43" s="6" t="s">
        <v>150</v>
      </c>
      <c r="C43" s="6" t="s">
        <v>151</v>
      </c>
      <c r="D43" s="6" t="s">
        <v>15</v>
      </c>
      <c r="E43" s="6" t="s">
        <v>16</v>
      </c>
      <c r="F43" s="6">
        <v>2</v>
      </c>
      <c r="G43" s="7">
        <v>38900</v>
      </c>
      <c r="H43" s="25">
        <v>83.4</v>
      </c>
      <c r="I43" s="17">
        <v>2000</v>
      </c>
      <c r="J43" s="7">
        <v>160</v>
      </c>
      <c r="K43" s="7">
        <v>1500</v>
      </c>
      <c r="L43" s="7">
        <v>1</v>
      </c>
      <c r="M43" s="7">
        <f>(International_Education_Costs!$G43+International_Education_Costs!$I43+International_Education_Costs!$J43+International_Education_Costs!$K43)*International_Education_Costs!$L43</f>
        <v>42560</v>
      </c>
      <c r="N43" s="7">
        <f>International_Education_Costs!$G43+International_Education_Costs!$I43+International_Education_Costs!$J43+International_Education_Costs!$K43</f>
        <v>42560</v>
      </c>
    </row>
    <row r="44" spans="1:14" x14ac:dyDescent="0.3">
      <c r="A44" s="4" t="s">
        <v>21</v>
      </c>
      <c r="B44" s="4" t="s">
        <v>152</v>
      </c>
      <c r="C44" s="4" t="s">
        <v>153</v>
      </c>
      <c r="D44" s="4" t="s">
        <v>15</v>
      </c>
      <c r="E44" s="4" t="s">
        <v>122</v>
      </c>
      <c r="F44" s="4">
        <v>4</v>
      </c>
      <c r="G44" s="5">
        <v>22800</v>
      </c>
      <c r="H44" s="24">
        <v>67.8</v>
      </c>
      <c r="I44" s="16">
        <v>1200</v>
      </c>
      <c r="J44" s="5">
        <v>235</v>
      </c>
      <c r="K44" s="5">
        <v>900</v>
      </c>
      <c r="L44" s="5">
        <v>1.35</v>
      </c>
      <c r="M44" s="5">
        <f>(International_Education_Costs!$G44+International_Education_Costs!$I44+International_Education_Costs!$J44+International_Education_Costs!$K44)*International_Education_Costs!$L44</f>
        <v>33932.25</v>
      </c>
      <c r="N44" s="5">
        <f>International_Education_Costs!$G44+International_Education_Costs!$I44+International_Education_Costs!$J44+International_Education_Costs!$K44</f>
        <v>25135</v>
      </c>
    </row>
    <row r="45" spans="1:14" x14ac:dyDescent="0.3">
      <c r="A45" s="6" t="s">
        <v>17</v>
      </c>
      <c r="B45" s="6" t="s">
        <v>154</v>
      </c>
      <c r="C45" s="6" t="s">
        <v>155</v>
      </c>
      <c r="D45" s="6" t="s">
        <v>15</v>
      </c>
      <c r="E45" s="6" t="s">
        <v>16</v>
      </c>
      <c r="F45" s="6">
        <v>1</v>
      </c>
      <c r="G45" s="7">
        <v>33500</v>
      </c>
      <c r="H45" s="25">
        <v>67.5</v>
      </c>
      <c r="I45" s="17">
        <v>1100</v>
      </c>
      <c r="J45" s="7">
        <v>485</v>
      </c>
      <c r="K45" s="7">
        <v>800</v>
      </c>
      <c r="L45" s="7">
        <v>0.79</v>
      </c>
      <c r="M45" s="7">
        <f>(International_Education_Costs!$G45+International_Education_Costs!$I45+International_Education_Costs!$J45+International_Education_Costs!$K45)*International_Education_Costs!$L45</f>
        <v>28349.15</v>
      </c>
      <c r="N45" s="7">
        <f>International_Education_Costs!$G45+International_Education_Costs!$I45+International_Education_Costs!$J45+International_Education_Costs!$K45</f>
        <v>35885</v>
      </c>
    </row>
    <row r="46" spans="1:14" x14ac:dyDescent="0.3">
      <c r="A46" s="4" t="s">
        <v>156</v>
      </c>
      <c r="B46" s="4" t="s">
        <v>157</v>
      </c>
      <c r="C46" s="4" t="s">
        <v>158</v>
      </c>
      <c r="D46" s="4" t="s">
        <v>15</v>
      </c>
      <c r="E46" s="4" t="s">
        <v>16</v>
      </c>
      <c r="F46" s="4">
        <v>2</v>
      </c>
      <c r="G46" s="5">
        <v>2500</v>
      </c>
      <c r="H46" s="24">
        <v>45.6</v>
      </c>
      <c r="I46" s="16">
        <v>500</v>
      </c>
      <c r="J46" s="5">
        <v>200</v>
      </c>
      <c r="K46" s="5">
        <v>300</v>
      </c>
      <c r="L46" s="5">
        <v>83.2</v>
      </c>
      <c r="M46" s="5">
        <f>(International_Education_Costs!$G46+International_Education_Costs!$I46+International_Education_Costs!$J46+International_Education_Costs!$K46)*International_Education_Costs!$L46</f>
        <v>291200</v>
      </c>
      <c r="N46" s="5">
        <f>International_Education_Costs!$G46+International_Education_Costs!$I46+International_Education_Costs!$J46+International_Education_Costs!$K46</f>
        <v>3500</v>
      </c>
    </row>
    <row r="47" spans="1:14" x14ac:dyDescent="0.3">
      <c r="A47" s="6" t="s">
        <v>56</v>
      </c>
      <c r="B47" s="6" t="s">
        <v>159</v>
      </c>
      <c r="C47" s="6" t="s">
        <v>160</v>
      </c>
      <c r="D47" s="6" t="s">
        <v>15</v>
      </c>
      <c r="E47" s="6" t="s">
        <v>75</v>
      </c>
      <c r="F47" s="6">
        <v>3</v>
      </c>
      <c r="G47" s="7">
        <v>0</v>
      </c>
      <c r="H47" s="25">
        <v>69.8</v>
      </c>
      <c r="I47" s="17">
        <v>900</v>
      </c>
      <c r="J47" s="7">
        <v>120</v>
      </c>
      <c r="K47" s="7">
        <v>450</v>
      </c>
      <c r="L47" s="7">
        <v>6.92</v>
      </c>
      <c r="M47" s="7">
        <f>(International_Education_Costs!$G47+International_Education_Costs!$I47+International_Education_Costs!$J47+International_Education_Costs!$K47)*International_Education_Costs!$L47</f>
        <v>10172.4</v>
      </c>
      <c r="N47" s="7">
        <f>International_Education_Costs!$G47+International_Education_Costs!$I47+International_Education_Costs!$J47+International_Education_Costs!$K47</f>
        <v>1470</v>
      </c>
    </row>
    <row r="48" spans="1:14" x14ac:dyDescent="0.3">
      <c r="A48" s="4" t="s">
        <v>161</v>
      </c>
      <c r="B48" s="4" t="s">
        <v>162</v>
      </c>
      <c r="C48" s="4" t="s">
        <v>163</v>
      </c>
      <c r="D48" s="4" t="s">
        <v>15</v>
      </c>
      <c r="E48" s="4" t="s">
        <v>16</v>
      </c>
      <c r="F48" s="4">
        <v>2</v>
      </c>
      <c r="G48" s="5">
        <v>3800</v>
      </c>
      <c r="H48" s="24">
        <v>51.2</v>
      </c>
      <c r="I48" s="16">
        <v>650</v>
      </c>
      <c r="J48" s="5">
        <v>80</v>
      </c>
      <c r="K48" s="5">
        <v>350</v>
      </c>
      <c r="L48" s="5">
        <v>4.0199999999999996</v>
      </c>
      <c r="M48" s="5">
        <f>(International_Education_Costs!$G48+International_Education_Costs!$I48+International_Education_Costs!$J48+International_Education_Costs!$K48)*International_Education_Costs!$L48</f>
        <v>19617.599999999999</v>
      </c>
      <c r="N48" s="5">
        <f>International_Education_Costs!$G48+International_Education_Costs!$I48+International_Education_Costs!$J48+International_Education_Costs!$K48</f>
        <v>4880</v>
      </c>
    </row>
    <row r="49" spans="1:14" x14ac:dyDescent="0.3">
      <c r="A49" s="6" t="s">
        <v>68</v>
      </c>
      <c r="B49" s="6" t="s">
        <v>164</v>
      </c>
      <c r="C49" s="6" t="s">
        <v>165</v>
      </c>
      <c r="D49" s="6" t="s">
        <v>15</v>
      </c>
      <c r="E49" s="6" t="s">
        <v>75</v>
      </c>
      <c r="F49" s="6">
        <v>4</v>
      </c>
      <c r="G49" s="7">
        <v>25800</v>
      </c>
      <c r="H49" s="25">
        <v>68.5</v>
      </c>
      <c r="I49" s="17">
        <v>1100</v>
      </c>
      <c r="J49" s="7">
        <v>150</v>
      </c>
      <c r="K49" s="7">
        <v>650</v>
      </c>
      <c r="L49" s="7">
        <v>0.92</v>
      </c>
      <c r="M49" s="7">
        <f>(International_Education_Costs!$G49+International_Education_Costs!$I49+International_Education_Costs!$J49+International_Education_Costs!$K49)*International_Education_Costs!$L49</f>
        <v>25484</v>
      </c>
      <c r="N49" s="7">
        <f>International_Education_Costs!$G49+International_Education_Costs!$I49+International_Education_Costs!$J49+International_Education_Costs!$K49</f>
        <v>27700</v>
      </c>
    </row>
    <row r="50" spans="1:14" x14ac:dyDescent="0.3">
      <c r="A50" s="4" t="s">
        <v>64</v>
      </c>
      <c r="B50" s="4" t="s">
        <v>166</v>
      </c>
      <c r="C50" s="4" t="s">
        <v>167</v>
      </c>
      <c r="D50" s="4" t="s">
        <v>15</v>
      </c>
      <c r="E50" s="4" t="s">
        <v>122</v>
      </c>
      <c r="F50" s="4">
        <v>4</v>
      </c>
      <c r="G50" s="5">
        <v>6900</v>
      </c>
      <c r="H50" s="24">
        <v>65.400000000000006</v>
      </c>
      <c r="I50" s="16">
        <v>700</v>
      </c>
      <c r="J50" s="5">
        <v>130</v>
      </c>
      <c r="K50" s="5">
        <v>500</v>
      </c>
      <c r="L50" s="5">
        <v>1320.5</v>
      </c>
      <c r="M50" s="5">
        <f>(International_Education_Costs!$G50+International_Education_Costs!$I50+International_Education_Costs!$J50+International_Education_Costs!$K50)*International_Education_Costs!$L50</f>
        <v>10867715</v>
      </c>
      <c r="N50" s="5">
        <f>International_Education_Costs!$G50+International_Education_Costs!$I50+International_Education_Costs!$J50+International_Education_Costs!$K50</f>
        <v>8230</v>
      </c>
    </row>
    <row r="51" spans="1:14" x14ac:dyDescent="0.3">
      <c r="A51" s="6" t="s">
        <v>168</v>
      </c>
      <c r="B51" s="6" t="s">
        <v>169</v>
      </c>
      <c r="C51" s="6" t="s">
        <v>170</v>
      </c>
      <c r="D51" s="6" t="s">
        <v>15</v>
      </c>
      <c r="E51" s="6" t="s">
        <v>75</v>
      </c>
      <c r="F51" s="6">
        <v>4</v>
      </c>
      <c r="G51" s="7">
        <v>4800</v>
      </c>
      <c r="H51" s="25">
        <v>48.2</v>
      </c>
      <c r="I51" s="17">
        <v>500</v>
      </c>
      <c r="J51" s="7">
        <v>110</v>
      </c>
      <c r="K51" s="7">
        <v>300</v>
      </c>
      <c r="L51" s="7">
        <v>4.72</v>
      </c>
      <c r="M51" s="7">
        <f>(International_Education_Costs!$G51+International_Education_Costs!$I51+International_Education_Costs!$J51+International_Education_Costs!$K51)*International_Education_Costs!$L51</f>
        <v>26951.199999999997</v>
      </c>
      <c r="N51" s="7">
        <f>International_Education_Costs!$G51+International_Education_Costs!$I51+International_Education_Costs!$J51+International_Education_Costs!$K51</f>
        <v>5710</v>
      </c>
    </row>
    <row r="52" spans="1:14" x14ac:dyDescent="0.3">
      <c r="A52" s="4" t="s">
        <v>12</v>
      </c>
      <c r="B52" s="4" t="s">
        <v>171</v>
      </c>
      <c r="C52" s="4" t="s">
        <v>172</v>
      </c>
      <c r="D52" s="4" t="s">
        <v>15</v>
      </c>
      <c r="E52" s="4" t="s">
        <v>75</v>
      </c>
      <c r="F52" s="4">
        <v>4</v>
      </c>
      <c r="G52" s="5">
        <v>44900</v>
      </c>
      <c r="H52" s="24">
        <v>84.2</v>
      </c>
      <c r="I52" s="16">
        <v>2100</v>
      </c>
      <c r="J52" s="5">
        <v>160</v>
      </c>
      <c r="K52" s="5">
        <v>1500</v>
      </c>
      <c r="L52" s="5">
        <v>1</v>
      </c>
      <c r="M52" s="5">
        <f>(International_Education_Costs!$G52+International_Education_Costs!$I52+International_Education_Costs!$J52+International_Education_Costs!$K52)*International_Education_Costs!$L52</f>
        <v>48660</v>
      </c>
      <c r="N52" s="5">
        <f>International_Education_Costs!$G52+International_Education_Costs!$I52+International_Education_Costs!$J52+International_Education_Costs!$K52</f>
        <v>48660</v>
      </c>
    </row>
    <row r="53" spans="1:14" x14ac:dyDescent="0.3">
      <c r="A53" s="6" t="s">
        <v>17</v>
      </c>
      <c r="B53" s="6" t="s">
        <v>173</v>
      </c>
      <c r="C53" s="6" t="s">
        <v>174</v>
      </c>
      <c r="D53" s="6" t="s">
        <v>175</v>
      </c>
      <c r="E53" s="6" t="s">
        <v>75</v>
      </c>
      <c r="F53" s="6">
        <v>3</v>
      </c>
      <c r="G53" s="7">
        <v>32000</v>
      </c>
      <c r="H53" s="25">
        <v>68.400000000000006</v>
      </c>
      <c r="I53" s="17">
        <v>1200</v>
      </c>
      <c r="J53" s="7">
        <v>485</v>
      </c>
      <c r="K53" s="7">
        <v>800</v>
      </c>
      <c r="L53" s="7">
        <v>0.79</v>
      </c>
      <c r="M53" s="7">
        <f>(International_Education_Costs!$G53+International_Education_Costs!$I53+International_Education_Costs!$J53+International_Education_Costs!$K53)*International_Education_Costs!$L53</f>
        <v>27243.15</v>
      </c>
      <c r="N53" s="7">
        <f>International_Education_Costs!$G53+International_Education_Costs!$I53+International_Education_Costs!$J53+International_Education_Costs!$K53</f>
        <v>34485</v>
      </c>
    </row>
    <row r="54" spans="1:14" x14ac:dyDescent="0.3">
      <c r="A54" s="4" t="s">
        <v>21</v>
      </c>
      <c r="B54" s="4" t="s">
        <v>176</v>
      </c>
      <c r="C54" s="4" t="s">
        <v>177</v>
      </c>
      <c r="D54" s="4" t="s">
        <v>178</v>
      </c>
      <c r="E54" s="4" t="s">
        <v>75</v>
      </c>
      <c r="F54" s="4">
        <v>4</v>
      </c>
      <c r="G54" s="5">
        <v>31200</v>
      </c>
      <c r="H54" s="24">
        <v>71.2</v>
      </c>
      <c r="I54" s="16">
        <v>1700</v>
      </c>
      <c r="J54" s="5">
        <v>235</v>
      </c>
      <c r="K54" s="5">
        <v>900</v>
      </c>
      <c r="L54" s="5">
        <v>1.35</v>
      </c>
      <c r="M54" s="5">
        <f>(International_Education_Costs!$G54+International_Education_Costs!$I54+International_Education_Costs!$J54+International_Education_Costs!$K54)*International_Education_Costs!$L54</f>
        <v>45947.25</v>
      </c>
      <c r="N54" s="5">
        <f>International_Education_Costs!$G54+International_Education_Costs!$I54+International_Education_Costs!$J54+International_Education_Costs!$K54</f>
        <v>34035</v>
      </c>
    </row>
    <row r="55" spans="1:14" x14ac:dyDescent="0.3">
      <c r="A55" s="6" t="s">
        <v>25</v>
      </c>
      <c r="B55" s="6" t="s">
        <v>179</v>
      </c>
      <c r="C55" s="6" t="s">
        <v>180</v>
      </c>
      <c r="D55" s="6" t="s">
        <v>74</v>
      </c>
      <c r="E55" s="6" t="s">
        <v>75</v>
      </c>
      <c r="F55" s="6">
        <v>3</v>
      </c>
      <c r="G55" s="7">
        <v>35000</v>
      </c>
      <c r="H55" s="25">
        <v>72.8</v>
      </c>
      <c r="I55" s="17">
        <v>1600</v>
      </c>
      <c r="J55" s="7">
        <v>450</v>
      </c>
      <c r="K55" s="7">
        <v>650</v>
      </c>
      <c r="L55" s="7">
        <v>1.52</v>
      </c>
      <c r="M55" s="7">
        <f>(International_Education_Costs!$G55+International_Education_Costs!$I55+International_Education_Costs!$J55+International_Education_Costs!$K55)*International_Education_Costs!$L55</f>
        <v>57304</v>
      </c>
      <c r="N55" s="7">
        <f>International_Education_Costs!$G55+International_Education_Costs!$I55+International_Education_Costs!$J55+International_Education_Costs!$K55</f>
        <v>37700</v>
      </c>
    </row>
    <row r="56" spans="1:14" x14ac:dyDescent="0.3">
      <c r="A56" s="4" t="s">
        <v>29</v>
      </c>
      <c r="B56" s="4" t="s">
        <v>181</v>
      </c>
      <c r="C56" s="4" t="s">
        <v>182</v>
      </c>
      <c r="D56" s="4" t="s">
        <v>183</v>
      </c>
      <c r="E56" s="4" t="s">
        <v>75</v>
      </c>
      <c r="F56" s="4">
        <v>3</v>
      </c>
      <c r="G56" s="5">
        <v>0</v>
      </c>
      <c r="H56" s="24">
        <v>65.2</v>
      </c>
      <c r="I56" s="16">
        <v>900</v>
      </c>
      <c r="J56" s="5">
        <v>75</v>
      </c>
      <c r="K56" s="5">
        <v>550</v>
      </c>
      <c r="L56" s="5">
        <v>0.92</v>
      </c>
      <c r="M56" s="5">
        <f>(International_Education_Costs!$G56+International_Education_Costs!$I56+International_Education_Costs!$J56+International_Education_Costs!$K56)*International_Education_Costs!$L56</f>
        <v>1403</v>
      </c>
      <c r="N56" s="5">
        <f>International_Education_Costs!$G56+International_Education_Costs!$I56+International_Education_Costs!$J56+International_Education_Costs!$K56</f>
        <v>1525</v>
      </c>
    </row>
    <row r="57" spans="1:14" x14ac:dyDescent="0.3">
      <c r="A57" s="6" t="s">
        <v>184</v>
      </c>
      <c r="B57" s="6" t="s">
        <v>185</v>
      </c>
      <c r="C57" s="6" t="s">
        <v>186</v>
      </c>
      <c r="D57" s="6" t="s">
        <v>108</v>
      </c>
      <c r="E57" s="6" t="s">
        <v>75</v>
      </c>
      <c r="F57" s="6">
        <v>4</v>
      </c>
      <c r="G57" s="7">
        <v>2800</v>
      </c>
      <c r="H57" s="25">
        <v>62.4</v>
      </c>
      <c r="I57" s="17">
        <v>950</v>
      </c>
      <c r="J57" s="7">
        <v>160</v>
      </c>
      <c r="K57" s="7">
        <v>500</v>
      </c>
      <c r="L57" s="7">
        <v>0.92</v>
      </c>
      <c r="M57" s="7">
        <f>(International_Education_Costs!$G57+International_Education_Costs!$I57+International_Education_Costs!$J57+International_Education_Costs!$K57)*International_Education_Costs!$L57</f>
        <v>4057.2000000000003</v>
      </c>
      <c r="N57" s="7">
        <f>International_Education_Costs!$G57+International_Education_Costs!$I57+International_Education_Costs!$J57+International_Education_Costs!$K57</f>
        <v>4410</v>
      </c>
    </row>
    <row r="58" spans="1:14" x14ac:dyDescent="0.3">
      <c r="A58" s="4" t="s">
        <v>187</v>
      </c>
      <c r="B58" s="4" t="s">
        <v>188</v>
      </c>
      <c r="C58" s="4" t="s">
        <v>189</v>
      </c>
      <c r="D58" s="4" t="s">
        <v>190</v>
      </c>
      <c r="E58" s="4" t="s">
        <v>75</v>
      </c>
      <c r="F58" s="4">
        <v>3</v>
      </c>
      <c r="G58" s="5">
        <v>4200</v>
      </c>
      <c r="H58" s="24">
        <v>63.8</v>
      </c>
      <c r="I58" s="16">
        <v>1100</v>
      </c>
      <c r="J58" s="5">
        <v>120</v>
      </c>
      <c r="K58" s="5">
        <v>650</v>
      </c>
      <c r="L58" s="5">
        <v>0.92</v>
      </c>
      <c r="M58" s="5">
        <f>(International_Education_Costs!$G58+International_Education_Costs!$I58+International_Education_Costs!$J58+International_Education_Costs!$K58)*International_Education_Costs!$L58</f>
        <v>5584.4000000000005</v>
      </c>
      <c r="N58" s="5">
        <f>International_Education_Costs!$G58+International_Education_Costs!$I58+International_Education_Costs!$J58+International_Education_Costs!$K58</f>
        <v>6070</v>
      </c>
    </row>
    <row r="59" spans="1:14" x14ac:dyDescent="0.3">
      <c r="A59" s="6" t="s">
        <v>37</v>
      </c>
      <c r="B59" s="6" t="s">
        <v>191</v>
      </c>
      <c r="C59" s="6" t="s">
        <v>192</v>
      </c>
      <c r="D59" s="6" t="s">
        <v>175</v>
      </c>
      <c r="E59" s="6" t="s">
        <v>75</v>
      </c>
      <c r="F59" s="6">
        <v>3</v>
      </c>
      <c r="G59" s="7">
        <v>11200</v>
      </c>
      <c r="H59" s="25">
        <v>71.5</v>
      </c>
      <c r="I59" s="17">
        <v>1300</v>
      </c>
      <c r="J59" s="7">
        <v>180</v>
      </c>
      <c r="K59" s="7">
        <v>720</v>
      </c>
      <c r="L59" s="7">
        <v>0.92</v>
      </c>
      <c r="M59" s="7">
        <f>(International_Education_Costs!$G59+International_Education_Costs!$I59+International_Education_Costs!$J59+International_Education_Costs!$K59)*International_Education_Costs!$L59</f>
        <v>12328</v>
      </c>
      <c r="N59" s="7">
        <f>International_Education_Costs!$G59+International_Education_Costs!$I59+International_Education_Costs!$J59+International_Education_Costs!$K59</f>
        <v>13400</v>
      </c>
    </row>
    <row r="60" spans="1:14" x14ac:dyDescent="0.3">
      <c r="A60" s="4" t="s">
        <v>193</v>
      </c>
      <c r="B60" s="4" t="s">
        <v>194</v>
      </c>
      <c r="C60" s="4" t="s">
        <v>195</v>
      </c>
      <c r="D60" s="4" t="s">
        <v>15</v>
      </c>
      <c r="E60" s="4" t="s">
        <v>75</v>
      </c>
      <c r="F60" s="4">
        <v>3</v>
      </c>
      <c r="G60" s="5">
        <v>0</v>
      </c>
      <c r="H60" s="24">
        <v>70.2</v>
      </c>
      <c r="I60" s="16">
        <v>1100</v>
      </c>
      <c r="J60" s="5">
        <v>120</v>
      </c>
      <c r="K60" s="5">
        <v>400</v>
      </c>
      <c r="L60" s="5">
        <v>0.92</v>
      </c>
      <c r="M60" s="5">
        <f>(International_Education_Costs!$G60+International_Education_Costs!$I60+International_Education_Costs!$J60+International_Education_Costs!$K60)*International_Education_Costs!$L60</f>
        <v>1490.4</v>
      </c>
      <c r="N60" s="5">
        <f>International_Education_Costs!$G60+International_Education_Costs!$I60+International_Education_Costs!$J60+International_Education_Costs!$K60</f>
        <v>1620</v>
      </c>
    </row>
    <row r="61" spans="1:14" x14ac:dyDescent="0.3">
      <c r="A61" s="6" t="s">
        <v>196</v>
      </c>
      <c r="B61" s="6" t="s">
        <v>197</v>
      </c>
      <c r="C61" s="6" t="s">
        <v>198</v>
      </c>
      <c r="D61" s="6" t="s">
        <v>199</v>
      </c>
      <c r="E61" s="6" t="s">
        <v>75</v>
      </c>
      <c r="F61" s="6">
        <v>3</v>
      </c>
      <c r="G61" s="7">
        <v>0</v>
      </c>
      <c r="H61" s="25">
        <v>75.599999999999994</v>
      </c>
      <c r="I61" s="17">
        <v>1400</v>
      </c>
      <c r="J61" s="7">
        <v>135</v>
      </c>
      <c r="K61" s="7">
        <v>450</v>
      </c>
      <c r="L61" s="7">
        <v>10.45</v>
      </c>
      <c r="M61" s="7">
        <f>(International_Education_Costs!$G61+International_Education_Costs!$I61+International_Education_Costs!$J61+International_Education_Costs!$K61)*International_Education_Costs!$L61</f>
        <v>20743.25</v>
      </c>
      <c r="N61" s="7">
        <f>International_Education_Costs!$G61+International_Education_Costs!$I61+International_Education_Costs!$J61+International_Education_Costs!$K61</f>
        <v>1985</v>
      </c>
    </row>
    <row r="62" spans="1:14" x14ac:dyDescent="0.3">
      <c r="A62" s="4" t="s">
        <v>33</v>
      </c>
      <c r="B62" s="4" t="s">
        <v>200</v>
      </c>
      <c r="C62" s="4" t="s">
        <v>201</v>
      </c>
      <c r="D62" s="4" t="s">
        <v>28</v>
      </c>
      <c r="E62" s="4" t="s">
        <v>75</v>
      </c>
      <c r="F62" s="4">
        <v>4</v>
      </c>
      <c r="G62" s="5">
        <v>6800</v>
      </c>
      <c r="H62" s="24">
        <v>71.2</v>
      </c>
      <c r="I62" s="16">
        <v>900</v>
      </c>
      <c r="J62" s="5">
        <v>220</v>
      </c>
      <c r="K62" s="5">
        <v>750</v>
      </c>
      <c r="L62" s="5">
        <v>145.80000000000001</v>
      </c>
      <c r="M62" s="5">
        <f>(International_Education_Costs!$G62+International_Education_Costs!$I62+International_Education_Costs!$J62+International_Education_Costs!$K62)*International_Education_Costs!$L62</f>
        <v>1264086</v>
      </c>
      <c r="N62" s="5">
        <f>International_Education_Costs!$G62+International_Education_Costs!$I62+International_Education_Costs!$J62+International_Education_Costs!$K62</f>
        <v>8670</v>
      </c>
    </row>
    <row r="63" spans="1:14" x14ac:dyDescent="0.3">
      <c r="A63" s="6" t="s">
        <v>33</v>
      </c>
      <c r="B63" s="6" t="s">
        <v>202</v>
      </c>
      <c r="C63" s="6" t="s">
        <v>203</v>
      </c>
      <c r="D63" s="6" t="s">
        <v>15</v>
      </c>
      <c r="E63" s="6" t="s">
        <v>16</v>
      </c>
      <c r="F63" s="6">
        <v>2</v>
      </c>
      <c r="G63" s="7">
        <v>8500</v>
      </c>
      <c r="H63" s="25">
        <v>71.8</v>
      </c>
      <c r="I63" s="17">
        <v>900</v>
      </c>
      <c r="J63" s="7">
        <v>220</v>
      </c>
      <c r="K63" s="7">
        <v>750</v>
      </c>
      <c r="L63" s="7">
        <v>145.80000000000001</v>
      </c>
      <c r="M63" s="7">
        <f>(International_Education_Costs!$G63+International_Education_Costs!$I63+International_Education_Costs!$J63+International_Education_Costs!$K63)*International_Education_Costs!$L63</f>
        <v>1511946.0000000002</v>
      </c>
      <c r="N63" s="7">
        <f>International_Education_Costs!$G63+International_Education_Costs!$I63+International_Education_Costs!$J63+International_Education_Costs!$K63</f>
        <v>10370</v>
      </c>
    </row>
    <row r="64" spans="1:14" x14ac:dyDescent="0.3">
      <c r="A64" s="4" t="s">
        <v>33</v>
      </c>
      <c r="B64" s="4" t="s">
        <v>204</v>
      </c>
      <c r="C64" s="4" t="s">
        <v>205</v>
      </c>
      <c r="D64" s="4" t="s">
        <v>36</v>
      </c>
      <c r="E64" s="4" t="s">
        <v>75</v>
      </c>
      <c r="F64" s="4">
        <v>4</v>
      </c>
      <c r="G64" s="5">
        <v>7800</v>
      </c>
      <c r="H64" s="24">
        <v>68.5</v>
      </c>
      <c r="I64" s="16">
        <v>750</v>
      </c>
      <c r="J64" s="5">
        <v>220</v>
      </c>
      <c r="K64" s="5">
        <v>750</v>
      </c>
      <c r="L64" s="5">
        <v>145.80000000000001</v>
      </c>
      <c r="M64" s="5">
        <f>(International_Education_Costs!$G64+International_Education_Costs!$I64+International_Education_Costs!$J64+International_Education_Costs!$K64)*International_Education_Costs!$L64</f>
        <v>1388016</v>
      </c>
      <c r="N64" s="5">
        <f>International_Education_Costs!$G64+International_Education_Costs!$I64+International_Education_Costs!$J64+International_Education_Costs!$K64</f>
        <v>9520</v>
      </c>
    </row>
    <row r="65" spans="1:14" x14ac:dyDescent="0.3">
      <c r="A65" s="6" t="s">
        <v>33</v>
      </c>
      <c r="B65" s="6" t="s">
        <v>206</v>
      </c>
      <c r="C65" s="6" t="s">
        <v>207</v>
      </c>
      <c r="D65" s="6" t="s">
        <v>208</v>
      </c>
      <c r="E65" s="6" t="s">
        <v>16</v>
      </c>
      <c r="F65" s="6">
        <v>2</v>
      </c>
      <c r="G65" s="7">
        <v>8200</v>
      </c>
      <c r="H65" s="25">
        <v>65.400000000000006</v>
      </c>
      <c r="I65" s="17">
        <v>650</v>
      </c>
      <c r="J65" s="7">
        <v>220</v>
      </c>
      <c r="K65" s="7">
        <v>750</v>
      </c>
      <c r="L65" s="7">
        <v>145.80000000000001</v>
      </c>
      <c r="M65" s="7">
        <f>(International_Education_Costs!$G65+International_Education_Costs!$I65+International_Education_Costs!$J65+International_Education_Costs!$K65)*International_Education_Costs!$L65</f>
        <v>1431756</v>
      </c>
      <c r="N65" s="7">
        <f>International_Education_Costs!$G65+International_Education_Costs!$I65+International_Education_Costs!$J65+International_Education_Costs!$K65</f>
        <v>9820</v>
      </c>
    </row>
    <row r="66" spans="1:14" x14ac:dyDescent="0.3">
      <c r="A66" s="4" t="s">
        <v>33</v>
      </c>
      <c r="B66" s="4" t="s">
        <v>209</v>
      </c>
      <c r="C66" s="4" t="s">
        <v>210</v>
      </c>
      <c r="D66" s="4" t="s">
        <v>63</v>
      </c>
      <c r="E66" s="4" t="s">
        <v>75</v>
      </c>
      <c r="F66" s="4">
        <v>4</v>
      </c>
      <c r="G66" s="5">
        <v>7500</v>
      </c>
      <c r="H66" s="24">
        <v>64.8</v>
      </c>
      <c r="I66" s="16">
        <v>600</v>
      </c>
      <c r="J66" s="5">
        <v>220</v>
      </c>
      <c r="K66" s="5">
        <v>750</v>
      </c>
      <c r="L66" s="5">
        <v>145.80000000000001</v>
      </c>
      <c r="M66" s="5">
        <f>(International_Education_Costs!$G66+International_Education_Costs!$I66+International_Education_Costs!$J66+International_Education_Costs!$K66)*International_Education_Costs!$L66</f>
        <v>1322406</v>
      </c>
      <c r="N66" s="5">
        <f>International_Education_Costs!$G66+International_Education_Costs!$I66+International_Education_Costs!$J66+International_Education_Costs!$K66</f>
        <v>9070</v>
      </c>
    </row>
    <row r="67" spans="1:14" x14ac:dyDescent="0.3">
      <c r="A67" s="6" t="s">
        <v>33</v>
      </c>
      <c r="B67" s="6" t="s">
        <v>211</v>
      </c>
      <c r="C67" s="6" t="s">
        <v>212</v>
      </c>
      <c r="D67" s="6" t="s">
        <v>20</v>
      </c>
      <c r="E67" s="6" t="s">
        <v>16</v>
      </c>
      <c r="F67" s="6">
        <v>2</v>
      </c>
      <c r="G67" s="7">
        <v>8100</v>
      </c>
      <c r="H67" s="25">
        <v>63.5</v>
      </c>
      <c r="I67" s="17">
        <v>550</v>
      </c>
      <c r="J67" s="7">
        <v>220</v>
      </c>
      <c r="K67" s="7">
        <v>750</v>
      </c>
      <c r="L67" s="7">
        <v>145.80000000000001</v>
      </c>
      <c r="M67" s="7">
        <f>(International_Education_Costs!$G67+International_Education_Costs!$I67+International_Education_Costs!$J67+International_Education_Costs!$K67)*International_Education_Costs!$L67</f>
        <v>1402596</v>
      </c>
      <c r="N67" s="7">
        <f>International_Education_Costs!$G67+International_Education_Costs!$I67+International_Education_Costs!$J67+International_Education_Costs!$K67</f>
        <v>9620</v>
      </c>
    </row>
    <row r="68" spans="1:14" x14ac:dyDescent="0.3">
      <c r="A68" s="4" t="s">
        <v>33</v>
      </c>
      <c r="B68" s="4" t="s">
        <v>34</v>
      </c>
      <c r="C68" s="4" t="s">
        <v>213</v>
      </c>
      <c r="D68" s="4" t="s">
        <v>40</v>
      </c>
      <c r="E68" s="4" t="s">
        <v>122</v>
      </c>
      <c r="F68" s="4">
        <v>3</v>
      </c>
      <c r="G68" s="5">
        <v>8900</v>
      </c>
      <c r="H68" s="24">
        <v>76.400000000000006</v>
      </c>
      <c r="I68" s="16">
        <v>1100</v>
      </c>
      <c r="J68" s="5">
        <v>220</v>
      </c>
      <c r="K68" s="5">
        <v>750</v>
      </c>
      <c r="L68" s="5">
        <v>145.80000000000001</v>
      </c>
      <c r="M68" s="5">
        <f>(International_Education_Costs!$G68+International_Education_Costs!$I68+International_Education_Costs!$J68+International_Education_Costs!$K68)*International_Education_Costs!$L68</f>
        <v>1599426.0000000002</v>
      </c>
      <c r="N68" s="5">
        <f>International_Education_Costs!$G68+International_Education_Costs!$I68+International_Education_Costs!$J68+International_Education_Costs!$K68</f>
        <v>10970</v>
      </c>
    </row>
    <row r="69" spans="1:14" x14ac:dyDescent="0.3">
      <c r="A69" s="6" t="s">
        <v>33</v>
      </c>
      <c r="B69" s="6" t="s">
        <v>214</v>
      </c>
      <c r="C69" s="6" t="s">
        <v>215</v>
      </c>
      <c r="D69" s="6" t="s">
        <v>216</v>
      </c>
      <c r="E69" s="6" t="s">
        <v>75</v>
      </c>
      <c r="F69" s="6">
        <v>4</v>
      </c>
      <c r="G69" s="7">
        <v>7200</v>
      </c>
      <c r="H69" s="25">
        <v>64.2</v>
      </c>
      <c r="I69" s="17">
        <v>600</v>
      </c>
      <c r="J69" s="7">
        <v>220</v>
      </c>
      <c r="K69" s="7">
        <v>750</v>
      </c>
      <c r="L69" s="7">
        <v>145.80000000000001</v>
      </c>
      <c r="M69" s="7">
        <f>(International_Education_Costs!$G69+International_Education_Costs!$I69+International_Education_Costs!$J69+International_Education_Costs!$K69)*International_Education_Costs!$L69</f>
        <v>1278666</v>
      </c>
      <c r="N69" s="7">
        <f>International_Education_Costs!$G69+International_Education_Costs!$I69+International_Education_Costs!$J69+International_Education_Costs!$K69</f>
        <v>8770</v>
      </c>
    </row>
    <row r="70" spans="1:14" x14ac:dyDescent="0.3">
      <c r="A70" s="4" t="s">
        <v>33</v>
      </c>
      <c r="B70" s="4" t="s">
        <v>217</v>
      </c>
      <c r="C70" s="4" t="s">
        <v>218</v>
      </c>
      <c r="D70" s="4" t="s">
        <v>15</v>
      </c>
      <c r="E70" s="4" t="s">
        <v>16</v>
      </c>
      <c r="F70" s="4">
        <v>2</v>
      </c>
      <c r="G70" s="5">
        <v>7900</v>
      </c>
      <c r="H70" s="24">
        <v>67.8</v>
      </c>
      <c r="I70" s="16">
        <v>700</v>
      </c>
      <c r="J70" s="5">
        <v>220</v>
      </c>
      <c r="K70" s="5">
        <v>750</v>
      </c>
      <c r="L70" s="5">
        <v>145.80000000000001</v>
      </c>
      <c r="M70" s="5">
        <f>(International_Education_Costs!$G70+International_Education_Costs!$I70+International_Education_Costs!$J70+International_Education_Costs!$K70)*International_Education_Costs!$L70</f>
        <v>1395306</v>
      </c>
      <c r="N70" s="5">
        <f>International_Education_Costs!$G70+International_Education_Costs!$I70+International_Education_Costs!$J70+International_Education_Costs!$K70</f>
        <v>9570</v>
      </c>
    </row>
    <row r="71" spans="1:14" x14ac:dyDescent="0.3">
      <c r="A71" s="6" t="s">
        <v>33</v>
      </c>
      <c r="B71" s="6" t="s">
        <v>219</v>
      </c>
      <c r="C71" s="6" t="s">
        <v>220</v>
      </c>
      <c r="D71" s="6" t="s">
        <v>208</v>
      </c>
      <c r="E71" s="6" t="s">
        <v>75</v>
      </c>
      <c r="F71" s="6">
        <v>4</v>
      </c>
      <c r="G71" s="7">
        <v>7100</v>
      </c>
      <c r="H71" s="25">
        <v>62.5</v>
      </c>
      <c r="I71" s="17">
        <v>500</v>
      </c>
      <c r="J71" s="7">
        <v>220</v>
      </c>
      <c r="K71" s="7">
        <v>750</v>
      </c>
      <c r="L71" s="7">
        <v>145.80000000000001</v>
      </c>
      <c r="M71" s="7">
        <f>(International_Education_Costs!$G71+International_Education_Costs!$I71+International_Education_Costs!$J71+International_Education_Costs!$K71)*International_Education_Costs!$L71</f>
        <v>1249506</v>
      </c>
      <c r="N71" s="7">
        <f>International_Education_Costs!$G71+International_Education_Costs!$I71+International_Education_Costs!$J71+International_Education_Costs!$K71</f>
        <v>8570</v>
      </c>
    </row>
    <row r="72" spans="1:14" x14ac:dyDescent="0.3">
      <c r="A72" s="4" t="s">
        <v>33</v>
      </c>
      <c r="B72" s="4" t="s">
        <v>221</v>
      </c>
      <c r="C72" s="4" t="s">
        <v>222</v>
      </c>
      <c r="D72" s="4" t="s">
        <v>223</v>
      </c>
      <c r="E72" s="4" t="s">
        <v>16</v>
      </c>
      <c r="F72" s="4">
        <v>2</v>
      </c>
      <c r="G72" s="5">
        <v>7600</v>
      </c>
      <c r="H72" s="24">
        <v>63.8</v>
      </c>
      <c r="I72" s="16">
        <v>550</v>
      </c>
      <c r="J72" s="5">
        <v>220</v>
      </c>
      <c r="K72" s="5">
        <v>750</v>
      </c>
      <c r="L72" s="5">
        <v>145.80000000000001</v>
      </c>
      <c r="M72" s="5">
        <f>(International_Education_Costs!$G72+International_Education_Costs!$I72+International_Education_Costs!$J72+International_Education_Costs!$K72)*International_Education_Costs!$L72</f>
        <v>1329696</v>
      </c>
      <c r="N72" s="5">
        <f>International_Education_Costs!$G72+International_Education_Costs!$I72+International_Education_Costs!$J72+International_Education_Costs!$K72</f>
        <v>9120</v>
      </c>
    </row>
    <row r="73" spans="1:14" x14ac:dyDescent="0.3">
      <c r="A73" s="6" t="s">
        <v>25</v>
      </c>
      <c r="B73" s="6" t="s">
        <v>224</v>
      </c>
      <c r="C73" s="6" t="s">
        <v>225</v>
      </c>
      <c r="D73" s="6" t="s">
        <v>15</v>
      </c>
      <c r="E73" s="6" t="s">
        <v>75</v>
      </c>
      <c r="F73" s="6">
        <v>3</v>
      </c>
      <c r="G73" s="7">
        <v>32800</v>
      </c>
      <c r="H73" s="25">
        <v>68.5</v>
      </c>
      <c r="I73" s="17">
        <v>1100</v>
      </c>
      <c r="J73" s="7">
        <v>450</v>
      </c>
      <c r="K73" s="7">
        <v>650</v>
      </c>
      <c r="L73" s="7">
        <v>1.52</v>
      </c>
      <c r="M73" s="7">
        <f>(International_Education_Costs!$G73+International_Education_Costs!$I73+International_Education_Costs!$J73+International_Education_Costs!$K73)*International_Education_Costs!$L73</f>
        <v>53200</v>
      </c>
      <c r="N73" s="7">
        <f>International_Education_Costs!$G73+International_Education_Costs!$I73+International_Education_Costs!$J73+International_Education_Costs!$K73</f>
        <v>35000</v>
      </c>
    </row>
    <row r="74" spans="1:14" x14ac:dyDescent="0.3">
      <c r="A74" s="4" t="s">
        <v>25</v>
      </c>
      <c r="B74" s="4" t="s">
        <v>226</v>
      </c>
      <c r="C74" s="4" t="s">
        <v>227</v>
      </c>
      <c r="D74" s="4" t="s">
        <v>208</v>
      </c>
      <c r="E74" s="4" t="s">
        <v>16</v>
      </c>
      <c r="F74" s="4">
        <v>2</v>
      </c>
      <c r="G74" s="5">
        <v>34500</v>
      </c>
      <c r="H74" s="24">
        <v>69.8</v>
      </c>
      <c r="I74" s="16">
        <v>1200</v>
      </c>
      <c r="J74" s="5">
        <v>450</v>
      </c>
      <c r="K74" s="5">
        <v>650</v>
      </c>
      <c r="L74" s="5">
        <v>1.52</v>
      </c>
      <c r="M74" s="5">
        <f>(International_Education_Costs!$G74+International_Education_Costs!$I74+International_Education_Costs!$J74+International_Education_Costs!$K74)*International_Education_Costs!$L74</f>
        <v>55936</v>
      </c>
      <c r="N74" s="5">
        <f>International_Education_Costs!$G74+International_Education_Costs!$I74+International_Education_Costs!$J74+International_Education_Costs!$K74</f>
        <v>36800</v>
      </c>
    </row>
    <row r="75" spans="1:14" x14ac:dyDescent="0.3">
      <c r="A75" s="6" t="s">
        <v>25</v>
      </c>
      <c r="B75" s="6" t="s">
        <v>228</v>
      </c>
      <c r="C75" s="6" t="s">
        <v>229</v>
      </c>
      <c r="D75" s="6" t="s">
        <v>223</v>
      </c>
      <c r="E75" s="6" t="s">
        <v>75</v>
      </c>
      <c r="F75" s="6">
        <v>3</v>
      </c>
      <c r="G75" s="7">
        <v>31200</v>
      </c>
      <c r="H75" s="25">
        <v>67.5</v>
      </c>
      <c r="I75" s="17">
        <v>1100</v>
      </c>
      <c r="J75" s="7">
        <v>450</v>
      </c>
      <c r="K75" s="7">
        <v>650</v>
      </c>
      <c r="L75" s="7">
        <v>1.52</v>
      </c>
      <c r="M75" s="7">
        <f>(International_Education_Costs!$G75+International_Education_Costs!$I75+International_Education_Costs!$J75+International_Education_Costs!$K75)*International_Education_Costs!$L75</f>
        <v>50768</v>
      </c>
      <c r="N75" s="7">
        <f>International_Education_Costs!$G75+International_Education_Costs!$I75+International_Education_Costs!$J75+International_Education_Costs!$K75</f>
        <v>33400</v>
      </c>
    </row>
    <row r="76" spans="1:14" x14ac:dyDescent="0.3">
      <c r="A76" s="4" t="s">
        <v>25</v>
      </c>
      <c r="B76" s="4" t="s">
        <v>230</v>
      </c>
      <c r="C76" s="4" t="s">
        <v>231</v>
      </c>
      <c r="D76" s="4" t="s">
        <v>20</v>
      </c>
      <c r="E76" s="4" t="s">
        <v>16</v>
      </c>
      <c r="F76" s="4">
        <v>2</v>
      </c>
      <c r="G76" s="5">
        <v>30800</v>
      </c>
      <c r="H76" s="24">
        <v>65.400000000000006</v>
      </c>
      <c r="I76" s="16">
        <v>950</v>
      </c>
      <c r="J76" s="5">
        <v>450</v>
      </c>
      <c r="K76" s="5">
        <v>650</v>
      </c>
      <c r="L76" s="5">
        <v>1.52</v>
      </c>
      <c r="M76" s="5">
        <f>(International_Education_Costs!$G76+International_Education_Costs!$I76+International_Education_Costs!$J76+International_Education_Costs!$K76)*International_Education_Costs!$L76</f>
        <v>49932</v>
      </c>
      <c r="N76" s="5">
        <f>International_Education_Costs!$G76+International_Education_Costs!$I76+International_Education_Costs!$J76+International_Education_Costs!$K76</f>
        <v>32850</v>
      </c>
    </row>
    <row r="77" spans="1:14" x14ac:dyDescent="0.3">
      <c r="A77" s="6" t="s">
        <v>25</v>
      </c>
      <c r="B77" s="6" t="s">
        <v>232</v>
      </c>
      <c r="C77" s="6" t="s">
        <v>233</v>
      </c>
      <c r="D77" s="6" t="s">
        <v>63</v>
      </c>
      <c r="E77" s="6" t="s">
        <v>75</v>
      </c>
      <c r="F77" s="6">
        <v>4</v>
      </c>
      <c r="G77" s="7">
        <v>31500</v>
      </c>
      <c r="H77" s="25">
        <v>66.8</v>
      </c>
      <c r="I77" s="17">
        <v>1000</v>
      </c>
      <c r="J77" s="7">
        <v>450</v>
      </c>
      <c r="K77" s="7">
        <v>650</v>
      </c>
      <c r="L77" s="7">
        <v>1.52</v>
      </c>
      <c r="M77" s="7">
        <f>(International_Education_Costs!$G77+International_Education_Costs!$I77+International_Education_Costs!$J77+International_Education_Costs!$K77)*International_Education_Costs!$L77</f>
        <v>51072</v>
      </c>
      <c r="N77" s="7">
        <f>International_Education_Costs!$G77+International_Education_Costs!$I77+International_Education_Costs!$J77+International_Education_Costs!$K77</f>
        <v>33600</v>
      </c>
    </row>
    <row r="78" spans="1:14" x14ac:dyDescent="0.3">
      <c r="A78" s="4" t="s">
        <v>25</v>
      </c>
      <c r="B78" s="4" t="s">
        <v>234</v>
      </c>
      <c r="C78" s="4" t="s">
        <v>235</v>
      </c>
      <c r="D78" s="4" t="s">
        <v>40</v>
      </c>
      <c r="E78" s="4" t="s">
        <v>16</v>
      </c>
      <c r="F78" s="4">
        <v>2</v>
      </c>
      <c r="G78" s="5">
        <v>32900</v>
      </c>
      <c r="H78" s="24">
        <v>67.2</v>
      </c>
      <c r="I78" s="16">
        <v>1050</v>
      </c>
      <c r="J78" s="5">
        <v>450</v>
      </c>
      <c r="K78" s="5">
        <v>650</v>
      </c>
      <c r="L78" s="5">
        <v>1.52</v>
      </c>
      <c r="M78" s="5">
        <f>(International_Education_Costs!$G78+International_Education_Costs!$I78+International_Education_Costs!$J78+International_Education_Costs!$K78)*International_Education_Costs!$L78</f>
        <v>53276</v>
      </c>
      <c r="N78" s="5">
        <f>International_Education_Costs!$G78+International_Education_Costs!$I78+International_Education_Costs!$J78+International_Education_Costs!$K78</f>
        <v>35050</v>
      </c>
    </row>
    <row r="79" spans="1:14" x14ac:dyDescent="0.3">
      <c r="A79" s="6" t="s">
        <v>25</v>
      </c>
      <c r="B79" s="6" t="s">
        <v>236</v>
      </c>
      <c r="C79" s="6" t="s">
        <v>237</v>
      </c>
      <c r="D79" s="6" t="s">
        <v>216</v>
      </c>
      <c r="E79" s="6" t="s">
        <v>75</v>
      </c>
      <c r="F79" s="6">
        <v>3</v>
      </c>
      <c r="G79" s="7">
        <v>29800</v>
      </c>
      <c r="H79" s="25">
        <v>64.5</v>
      </c>
      <c r="I79" s="17">
        <v>900</v>
      </c>
      <c r="J79" s="7">
        <v>450</v>
      </c>
      <c r="K79" s="7">
        <v>650</v>
      </c>
      <c r="L79" s="7">
        <v>1.52</v>
      </c>
      <c r="M79" s="7">
        <f>(International_Education_Costs!$G79+International_Education_Costs!$I79+International_Education_Costs!$J79+International_Education_Costs!$K79)*International_Education_Costs!$L79</f>
        <v>48336</v>
      </c>
      <c r="N79" s="7">
        <f>International_Education_Costs!$G79+International_Education_Costs!$I79+International_Education_Costs!$J79+International_Education_Costs!$K79</f>
        <v>31800</v>
      </c>
    </row>
    <row r="80" spans="1:14" x14ac:dyDescent="0.3">
      <c r="A80" s="4" t="s">
        <v>25</v>
      </c>
      <c r="B80" s="4" t="s">
        <v>238</v>
      </c>
      <c r="C80" s="4" t="s">
        <v>239</v>
      </c>
      <c r="D80" s="4" t="s">
        <v>71</v>
      </c>
      <c r="E80" s="4" t="s">
        <v>16</v>
      </c>
      <c r="F80" s="4">
        <v>2</v>
      </c>
      <c r="G80" s="5">
        <v>31200</v>
      </c>
      <c r="H80" s="24">
        <v>65.8</v>
      </c>
      <c r="I80" s="16">
        <v>950</v>
      </c>
      <c r="J80" s="5">
        <v>450</v>
      </c>
      <c r="K80" s="5">
        <v>650</v>
      </c>
      <c r="L80" s="5">
        <v>1.52</v>
      </c>
      <c r="M80" s="5">
        <f>(International_Education_Costs!$G80+International_Education_Costs!$I80+International_Education_Costs!$J80+International_Education_Costs!$K80)*International_Education_Costs!$L80</f>
        <v>50540</v>
      </c>
      <c r="N80" s="5">
        <f>International_Education_Costs!$G80+International_Education_Costs!$I80+International_Education_Costs!$J80+International_Education_Costs!$K80</f>
        <v>33250</v>
      </c>
    </row>
    <row r="81" spans="1:14" x14ac:dyDescent="0.3">
      <c r="A81" s="6" t="s">
        <v>25</v>
      </c>
      <c r="B81" s="6" t="s">
        <v>240</v>
      </c>
      <c r="C81" s="6" t="s">
        <v>241</v>
      </c>
      <c r="D81" s="6" t="s">
        <v>242</v>
      </c>
      <c r="E81" s="6" t="s">
        <v>75</v>
      </c>
      <c r="F81" s="6">
        <v>3</v>
      </c>
      <c r="G81" s="7">
        <v>29500</v>
      </c>
      <c r="H81" s="25">
        <v>66.2</v>
      </c>
      <c r="I81" s="17">
        <v>1000</v>
      </c>
      <c r="J81" s="7">
        <v>450</v>
      </c>
      <c r="K81" s="7">
        <v>650</v>
      </c>
      <c r="L81" s="7">
        <v>1.52</v>
      </c>
      <c r="M81" s="7">
        <f>(International_Education_Costs!$G81+International_Education_Costs!$I81+International_Education_Costs!$J81+International_Education_Costs!$K81)*International_Education_Costs!$L81</f>
        <v>48032</v>
      </c>
      <c r="N81" s="7">
        <f>International_Education_Costs!$G81+International_Education_Costs!$I81+International_Education_Costs!$J81+International_Education_Costs!$K81</f>
        <v>31600</v>
      </c>
    </row>
    <row r="82" spans="1:14" x14ac:dyDescent="0.3">
      <c r="A82" s="4" t="s">
        <v>25</v>
      </c>
      <c r="B82" s="4" t="s">
        <v>243</v>
      </c>
      <c r="C82" s="4" t="s">
        <v>244</v>
      </c>
      <c r="D82" s="4" t="s">
        <v>245</v>
      </c>
      <c r="E82" s="4" t="s">
        <v>16</v>
      </c>
      <c r="F82" s="4">
        <v>2</v>
      </c>
      <c r="G82" s="5">
        <v>30500</v>
      </c>
      <c r="H82" s="24">
        <v>64.8</v>
      </c>
      <c r="I82" s="16">
        <v>850</v>
      </c>
      <c r="J82" s="5">
        <v>450</v>
      </c>
      <c r="K82" s="5">
        <v>650</v>
      </c>
      <c r="L82" s="5">
        <v>1.52</v>
      </c>
      <c r="M82" s="5">
        <f>(International_Education_Costs!$G82+International_Education_Costs!$I82+International_Education_Costs!$J82+International_Education_Costs!$K82)*International_Education_Costs!$L82</f>
        <v>49324</v>
      </c>
      <c r="N82" s="5">
        <f>International_Education_Costs!$G82+International_Education_Costs!$I82+International_Education_Costs!$J82+International_Education_Costs!$K82</f>
        <v>32450</v>
      </c>
    </row>
    <row r="83" spans="1:14" x14ac:dyDescent="0.3">
      <c r="A83" s="6" t="s">
        <v>29</v>
      </c>
      <c r="B83" s="6" t="s">
        <v>246</v>
      </c>
      <c r="C83" s="6" t="s">
        <v>247</v>
      </c>
      <c r="D83" s="6" t="s">
        <v>15</v>
      </c>
      <c r="E83" s="6" t="s">
        <v>16</v>
      </c>
      <c r="F83" s="6">
        <v>2</v>
      </c>
      <c r="G83" s="7">
        <v>500</v>
      </c>
      <c r="H83" s="25">
        <v>65.8</v>
      </c>
      <c r="I83" s="17">
        <v>750</v>
      </c>
      <c r="J83" s="7">
        <v>75</v>
      </c>
      <c r="K83" s="7">
        <v>550</v>
      </c>
      <c r="L83" s="7">
        <v>0.92</v>
      </c>
      <c r="M83" s="7">
        <f>(International_Education_Costs!$G83+International_Education_Costs!$I83+International_Education_Costs!$J83+International_Education_Costs!$K83)*International_Education_Costs!$L83</f>
        <v>1725</v>
      </c>
      <c r="N83" s="7">
        <f>International_Education_Costs!$G83+International_Education_Costs!$I83+International_Education_Costs!$J83+International_Education_Costs!$K83</f>
        <v>1875</v>
      </c>
    </row>
    <row r="84" spans="1:14" x14ac:dyDescent="0.3">
      <c r="A84" s="4" t="s">
        <v>29</v>
      </c>
      <c r="B84" s="4" t="s">
        <v>248</v>
      </c>
      <c r="C84" s="4" t="s">
        <v>249</v>
      </c>
      <c r="D84" s="4" t="s">
        <v>208</v>
      </c>
      <c r="E84" s="4" t="s">
        <v>75</v>
      </c>
      <c r="F84" s="4">
        <v>3</v>
      </c>
      <c r="G84" s="5">
        <v>450</v>
      </c>
      <c r="H84" s="24">
        <v>68.5</v>
      </c>
      <c r="I84" s="16">
        <v>850</v>
      </c>
      <c r="J84" s="5">
        <v>75</v>
      </c>
      <c r="K84" s="5">
        <v>550</v>
      </c>
      <c r="L84" s="5">
        <v>0.92</v>
      </c>
      <c r="M84" s="5">
        <f>(International_Education_Costs!$G84+International_Education_Costs!$I84+International_Education_Costs!$J84+International_Education_Costs!$K84)*International_Education_Costs!$L84</f>
        <v>1771</v>
      </c>
      <c r="N84" s="5">
        <f>International_Education_Costs!$G84+International_Education_Costs!$I84+International_Education_Costs!$J84+International_Education_Costs!$K84</f>
        <v>1925</v>
      </c>
    </row>
    <row r="85" spans="1:14" x14ac:dyDescent="0.3">
      <c r="A85" s="6" t="s">
        <v>29</v>
      </c>
      <c r="B85" s="6" t="s">
        <v>250</v>
      </c>
      <c r="C85" s="6" t="s">
        <v>251</v>
      </c>
      <c r="D85" s="6" t="s">
        <v>252</v>
      </c>
      <c r="E85" s="6" t="s">
        <v>16</v>
      </c>
      <c r="F85" s="6">
        <v>2</v>
      </c>
      <c r="G85" s="7">
        <v>500</v>
      </c>
      <c r="H85" s="25">
        <v>71.2</v>
      </c>
      <c r="I85" s="17">
        <v>950</v>
      </c>
      <c r="J85" s="7">
        <v>75</v>
      </c>
      <c r="K85" s="7">
        <v>550</v>
      </c>
      <c r="L85" s="7">
        <v>0.92</v>
      </c>
      <c r="M85" s="7">
        <f>(International_Education_Costs!$G85+International_Education_Costs!$I85+International_Education_Costs!$J85+International_Education_Costs!$K85)*International_Education_Costs!$L85</f>
        <v>1909</v>
      </c>
      <c r="N85" s="7">
        <f>International_Education_Costs!$G85+International_Education_Costs!$I85+International_Education_Costs!$J85+International_Education_Costs!$K85</f>
        <v>2075</v>
      </c>
    </row>
    <row r="86" spans="1:14" x14ac:dyDescent="0.3">
      <c r="A86" s="4" t="s">
        <v>29</v>
      </c>
      <c r="B86" s="4" t="s">
        <v>253</v>
      </c>
      <c r="C86" s="4" t="s">
        <v>254</v>
      </c>
      <c r="D86" s="4" t="s">
        <v>63</v>
      </c>
      <c r="E86" s="4" t="s">
        <v>75</v>
      </c>
      <c r="F86" s="4">
        <v>3</v>
      </c>
      <c r="G86" s="5">
        <v>500</v>
      </c>
      <c r="H86" s="24">
        <v>66.400000000000006</v>
      </c>
      <c r="I86" s="16">
        <v>700</v>
      </c>
      <c r="J86" s="5">
        <v>75</v>
      </c>
      <c r="K86" s="5">
        <v>550</v>
      </c>
      <c r="L86" s="5">
        <v>0.92</v>
      </c>
      <c r="M86" s="5">
        <f>(International_Education_Costs!$G86+International_Education_Costs!$I86+International_Education_Costs!$J86+International_Education_Costs!$K86)*International_Education_Costs!$L86</f>
        <v>1679</v>
      </c>
      <c r="N86" s="5">
        <f>International_Education_Costs!$G86+International_Education_Costs!$I86+International_Education_Costs!$J86+International_Education_Costs!$K86</f>
        <v>1825</v>
      </c>
    </row>
    <row r="87" spans="1:14" x14ac:dyDescent="0.3">
      <c r="A87" s="6" t="s">
        <v>29</v>
      </c>
      <c r="B87" s="6" t="s">
        <v>255</v>
      </c>
      <c r="C87" s="6" t="s">
        <v>256</v>
      </c>
      <c r="D87" s="6" t="s">
        <v>40</v>
      </c>
      <c r="E87" s="6" t="s">
        <v>16</v>
      </c>
      <c r="F87" s="6">
        <v>2</v>
      </c>
      <c r="G87" s="7">
        <v>500</v>
      </c>
      <c r="H87" s="25">
        <v>67.8</v>
      </c>
      <c r="I87" s="17">
        <v>800</v>
      </c>
      <c r="J87" s="7">
        <v>75</v>
      </c>
      <c r="K87" s="7">
        <v>550</v>
      </c>
      <c r="L87" s="7">
        <v>0.92</v>
      </c>
      <c r="M87" s="7">
        <f>(International_Education_Costs!$G87+International_Education_Costs!$I87+International_Education_Costs!$J87+International_Education_Costs!$K87)*International_Education_Costs!$L87</f>
        <v>1771</v>
      </c>
      <c r="N87" s="7">
        <f>International_Education_Costs!$G87+International_Education_Costs!$I87+International_Education_Costs!$J87+International_Education_Costs!$K87</f>
        <v>1925</v>
      </c>
    </row>
    <row r="88" spans="1:14" x14ac:dyDescent="0.3">
      <c r="A88" s="4" t="s">
        <v>29</v>
      </c>
      <c r="B88" s="4" t="s">
        <v>257</v>
      </c>
      <c r="C88" s="4" t="s">
        <v>258</v>
      </c>
      <c r="D88" s="4" t="s">
        <v>216</v>
      </c>
      <c r="E88" s="4" t="s">
        <v>75</v>
      </c>
      <c r="F88" s="4">
        <v>3</v>
      </c>
      <c r="G88" s="5">
        <v>450</v>
      </c>
      <c r="H88" s="24">
        <v>66.900000000000006</v>
      </c>
      <c r="I88" s="16">
        <v>750</v>
      </c>
      <c r="J88" s="5">
        <v>75</v>
      </c>
      <c r="K88" s="5">
        <v>550</v>
      </c>
      <c r="L88" s="5">
        <v>0.92</v>
      </c>
      <c r="M88" s="5">
        <f>(International_Education_Costs!$G88+International_Education_Costs!$I88+International_Education_Costs!$J88+International_Education_Costs!$K88)*International_Education_Costs!$L88</f>
        <v>1679</v>
      </c>
      <c r="N88" s="5">
        <f>International_Education_Costs!$G88+International_Education_Costs!$I88+International_Education_Costs!$J88+International_Education_Costs!$K88</f>
        <v>1825</v>
      </c>
    </row>
    <row r="89" spans="1:14" x14ac:dyDescent="0.3">
      <c r="A89" s="6" t="s">
        <v>29</v>
      </c>
      <c r="B89" s="6" t="s">
        <v>259</v>
      </c>
      <c r="C89" s="6" t="s">
        <v>260</v>
      </c>
      <c r="D89" s="6" t="s">
        <v>261</v>
      </c>
      <c r="E89" s="6" t="s">
        <v>16</v>
      </c>
      <c r="F89" s="6">
        <v>2</v>
      </c>
      <c r="G89" s="7">
        <v>500</v>
      </c>
      <c r="H89" s="25">
        <v>64.5</v>
      </c>
      <c r="I89" s="17">
        <v>650</v>
      </c>
      <c r="J89" s="7">
        <v>75</v>
      </c>
      <c r="K89" s="7">
        <v>550</v>
      </c>
      <c r="L89" s="7">
        <v>0.92</v>
      </c>
      <c r="M89" s="7">
        <f>(International_Education_Costs!$G89+International_Education_Costs!$I89+International_Education_Costs!$J89+International_Education_Costs!$K89)*International_Education_Costs!$L89</f>
        <v>1633</v>
      </c>
      <c r="N89" s="7">
        <f>International_Education_Costs!$G89+International_Education_Costs!$I89+International_Education_Costs!$J89+International_Education_Costs!$K89</f>
        <v>1775</v>
      </c>
    </row>
    <row r="90" spans="1:14" x14ac:dyDescent="0.3">
      <c r="A90" s="4" t="s">
        <v>29</v>
      </c>
      <c r="B90" s="4" t="s">
        <v>262</v>
      </c>
      <c r="C90" s="4" t="s">
        <v>263</v>
      </c>
      <c r="D90" s="4" t="s">
        <v>20</v>
      </c>
      <c r="E90" s="4" t="s">
        <v>75</v>
      </c>
      <c r="F90" s="4">
        <v>3</v>
      </c>
      <c r="G90" s="5">
        <v>450</v>
      </c>
      <c r="H90" s="24">
        <v>63.8</v>
      </c>
      <c r="I90" s="16">
        <v>600</v>
      </c>
      <c r="J90" s="5">
        <v>75</v>
      </c>
      <c r="K90" s="5">
        <v>550</v>
      </c>
      <c r="L90" s="5">
        <v>0.92</v>
      </c>
      <c r="M90" s="5">
        <f>(International_Education_Costs!$G90+International_Education_Costs!$I90+International_Education_Costs!$J90+International_Education_Costs!$K90)*International_Education_Costs!$L90</f>
        <v>1541</v>
      </c>
      <c r="N90" s="5">
        <f>International_Education_Costs!$G90+International_Education_Costs!$I90+International_Education_Costs!$J90+International_Education_Costs!$K90</f>
        <v>1675</v>
      </c>
    </row>
    <row r="91" spans="1:14" x14ac:dyDescent="0.3">
      <c r="A91" s="6" t="s">
        <v>29</v>
      </c>
      <c r="B91" s="6" t="s">
        <v>264</v>
      </c>
      <c r="C91" s="6" t="s">
        <v>265</v>
      </c>
      <c r="D91" s="6" t="s">
        <v>266</v>
      </c>
      <c r="E91" s="6" t="s">
        <v>16</v>
      </c>
      <c r="F91" s="6">
        <v>2</v>
      </c>
      <c r="G91" s="7">
        <v>500</v>
      </c>
      <c r="H91" s="25">
        <v>66.2</v>
      </c>
      <c r="I91" s="17">
        <v>750</v>
      </c>
      <c r="J91" s="7">
        <v>75</v>
      </c>
      <c r="K91" s="7">
        <v>550</v>
      </c>
      <c r="L91" s="7">
        <v>0.92</v>
      </c>
      <c r="M91" s="7">
        <f>(International_Education_Costs!$G91+International_Education_Costs!$I91+International_Education_Costs!$J91+International_Education_Costs!$K91)*International_Education_Costs!$L91</f>
        <v>1725</v>
      </c>
      <c r="N91" s="7">
        <f>International_Education_Costs!$G91+International_Education_Costs!$I91+International_Education_Costs!$J91+International_Education_Costs!$K91</f>
        <v>1875</v>
      </c>
    </row>
    <row r="92" spans="1:14" x14ac:dyDescent="0.3">
      <c r="A92" s="4" t="s">
        <v>29</v>
      </c>
      <c r="B92" s="4" t="s">
        <v>267</v>
      </c>
      <c r="C92" s="4" t="s">
        <v>268</v>
      </c>
      <c r="D92" s="4" t="s">
        <v>269</v>
      </c>
      <c r="E92" s="4" t="s">
        <v>16</v>
      </c>
      <c r="F92" s="4">
        <v>2</v>
      </c>
      <c r="G92" s="5">
        <v>500</v>
      </c>
      <c r="H92" s="24">
        <v>67.5</v>
      </c>
      <c r="I92" s="16">
        <v>800</v>
      </c>
      <c r="J92" s="5">
        <v>75</v>
      </c>
      <c r="K92" s="5">
        <v>550</v>
      </c>
      <c r="L92" s="5">
        <v>0.92</v>
      </c>
      <c r="M92" s="5">
        <f>(International_Education_Costs!$G92+International_Education_Costs!$I92+International_Education_Costs!$J92+International_Education_Costs!$K92)*International_Education_Costs!$L92</f>
        <v>1771</v>
      </c>
      <c r="N92" s="5">
        <f>International_Education_Costs!$G92+International_Education_Costs!$I92+International_Education_Costs!$J92+International_Education_Costs!$K92</f>
        <v>1925</v>
      </c>
    </row>
    <row r="93" spans="1:14" x14ac:dyDescent="0.3">
      <c r="A93" s="6" t="s">
        <v>12</v>
      </c>
      <c r="B93" s="6" t="s">
        <v>270</v>
      </c>
      <c r="C93" s="6" t="s">
        <v>271</v>
      </c>
      <c r="D93" s="6" t="s">
        <v>15</v>
      </c>
      <c r="E93" s="6" t="s">
        <v>16</v>
      </c>
      <c r="F93" s="6">
        <v>2</v>
      </c>
      <c r="G93" s="7">
        <v>51900</v>
      </c>
      <c r="H93" s="25">
        <v>76.8</v>
      </c>
      <c r="I93" s="17">
        <v>1900</v>
      </c>
      <c r="J93" s="7">
        <v>160</v>
      </c>
      <c r="K93" s="7">
        <v>1500</v>
      </c>
      <c r="L93" s="7">
        <v>1</v>
      </c>
      <c r="M93" s="7">
        <f>(International_Education_Costs!$G93+International_Education_Costs!$I93+International_Education_Costs!$J93+International_Education_Costs!$K93)*International_Education_Costs!$L93</f>
        <v>55460</v>
      </c>
      <c r="N93" s="7">
        <f>International_Education_Costs!$G93+International_Education_Costs!$I93+International_Education_Costs!$J93+International_Education_Costs!$K93</f>
        <v>55460</v>
      </c>
    </row>
    <row r="94" spans="1:14" x14ac:dyDescent="0.3">
      <c r="A94" s="4" t="s">
        <v>12</v>
      </c>
      <c r="B94" s="4" t="s">
        <v>272</v>
      </c>
      <c r="C94" s="4" t="s">
        <v>273</v>
      </c>
      <c r="D94" s="4" t="s">
        <v>71</v>
      </c>
      <c r="E94" s="4" t="s">
        <v>16</v>
      </c>
      <c r="F94" s="4">
        <v>2</v>
      </c>
      <c r="G94" s="5">
        <v>52400</v>
      </c>
      <c r="H94" s="24">
        <v>78.900000000000006</v>
      </c>
      <c r="I94" s="16">
        <v>2000</v>
      </c>
      <c r="J94" s="5">
        <v>160</v>
      </c>
      <c r="K94" s="5">
        <v>1500</v>
      </c>
      <c r="L94" s="5">
        <v>1</v>
      </c>
      <c r="M94" s="5">
        <f>(International_Education_Costs!$G94+International_Education_Costs!$I94+International_Education_Costs!$J94+International_Education_Costs!$K94)*International_Education_Costs!$L94</f>
        <v>56060</v>
      </c>
      <c r="N94" s="5">
        <f>International_Education_Costs!$G94+International_Education_Costs!$I94+International_Education_Costs!$J94+International_Education_Costs!$K94</f>
        <v>56060</v>
      </c>
    </row>
    <row r="95" spans="1:14" x14ac:dyDescent="0.3">
      <c r="A95" s="6" t="s">
        <v>12</v>
      </c>
      <c r="B95" s="6" t="s">
        <v>274</v>
      </c>
      <c r="C95" s="6" t="s">
        <v>275</v>
      </c>
      <c r="D95" s="6" t="s">
        <v>40</v>
      </c>
      <c r="E95" s="6" t="s">
        <v>122</v>
      </c>
      <c r="F95" s="6">
        <v>5</v>
      </c>
      <c r="G95" s="7">
        <v>53600</v>
      </c>
      <c r="H95" s="25">
        <v>72.5</v>
      </c>
      <c r="I95" s="17">
        <v>1700</v>
      </c>
      <c r="J95" s="7">
        <v>160</v>
      </c>
      <c r="K95" s="7">
        <v>1500</v>
      </c>
      <c r="L95" s="7">
        <v>1</v>
      </c>
      <c r="M95" s="7">
        <f>(International_Education_Costs!$G95+International_Education_Costs!$I95+International_Education_Costs!$J95+International_Education_Costs!$K95)*International_Education_Costs!$L95</f>
        <v>56960</v>
      </c>
      <c r="N95" s="7">
        <f>International_Education_Costs!$G95+International_Education_Costs!$I95+International_Education_Costs!$J95+International_Education_Costs!$K95</f>
        <v>56960</v>
      </c>
    </row>
    <row r="96" spans="1:14" x14ac:dyDescent="0.3">
      <c r="A96" s="4" t="s">
        <v>12</v>
      </c>
      <c r="B96" s="4" t="s">
        <v>276</v>
      </c>
      <c r="C96" s="4" t="s">
        <v>277</v>
      </c>
      <c r="D96" s="4" t="s">
        <v>63</v>
      </c>
      <c r="E96" s="4" t="s">
        <v>75</v>
      </c>
      <c r="F96" s="4">
        <v>4</v>
      </c>
      <c r="G96" s="5">
        <v>50800</v>
      </c>
      <c r="H96" s="24">
        <v>71.2</v>
      </c>
      <c r="I96" s="16">
        <v>1600</v>
      </c>
      <c r="J96" s="5">
        <v>160</v>
      </c>
      <c r="K96" s="5">
        <v>1500</v>
      </c>
      <c r="L96" s="5">
        <v>1</v>
      </c>
      <c r="M96" s="5">
        <f>(International_Education_Costs!$G96+International_Education_Costs!$I96+International_Education_Costs!$J96+International_Education_Costs!$K96)*International_Education_Costs!$L96</f>
        <v>54060</v>
      </c>
      <c r="N96" s="5">
        <f>International_Education_Costs!$G96+International_Education_Costs!$I96+International_Education_Costs!$J96+International_Education_Costs!$K96</f>
        <v>54060</v>
      </c>
    </row>
    <row r="97" spans="1:14" x14ac:dyDescent="0.3">
      <c r="A97" s="6" t="s">
        <v>12</v>
      </c>
      <c r="B97" s="6" t="s">
        <v>278</v>
      </c>
      <c r="C97" s="6" t="s">
        <v>279</v>
      </c>
      <c r="D97" s="6" t="s">
        <v>208</v>
      </c>
      <c r="E97" s="6" t="s">
        <v>16</v>
      </c>
      <c r="F97" s="6">
        <v>2</v>
      </c>
      <c r="G97" s="7">
        <v>51500</v>
      </c>
      <c r="H97" s="25">
        <v>70.8</v>
      </c>
      <c r="I97" s="17">
        <v>1500</v>
      </c>
      <c r="J97" s="7">
        <v>160</v>
      </c>
      <c r="K97" s="7">
        <v>1500</v>
      </c>
      <c r="L97" s="7">
        <v>1</v>
      </c>
      <c r="M97" s="7">
        <f>(International_Education_Costs!$G97+International_Education_Costs!$I97+International_Education_Costs!$J97+International_Education_Costs!$K97)*International_Education_Costs!$L97</f>
        <v>54660</v>
      </c>
      <c r="N97" s="7">
        <f>International_Education_Costs!$G97+International_Education_Costs!$I97+International_Education_Costs!$J97+International_Education_Costs!$K97</f>
        <v>54660</v>
      </c>
    </row>
    <row r="98" spans="1:14" x14ac:dyDescent="0.3">
      <c r="A98" s="4" t="s">
        <v>12</v>
      </c>
      <c r="B98" s="4" t="s">
        <v>280</v>
      </c>
      <c r="C98" s="4" t="s">
        <v>281</v>
      </c>
      <c r="D98" s="4" t="s">
        <v>15</v>
      </c>
      <c r="E98" s="4" t="s">
        <v>122</v>
      </c>
      <c r="F98" s="4">
        <v>5</v>
      </c>
      <c r="G98" s="5">
        <v>38200</v>
      </c>
      <c r="H98" s="24">
        <v>69.5</v>
      </c>
      <c r="I98" s="16">
        <v>1400</v>
      </c>
      <c r="J98" s="5">
        <v>160</v>
      </c>
      <c r="K98" s="5">
        <v>1500</v>
      </c>
      <c r="L98" s="5">
        <v>1</v>
      </c>
      <c r="M98" s="5">
        <f>(International_Education_Costs!$G98+International_Education_Costs!$I98+International_Education_Costs!$J98+International_Education_Costs!$K98)*International_Education_Costs!$L98</f>
        <v>41260</v>
      </c>
      <c r="N98" s="5">
        <f>International_Education_Costs!$G98+International_Education_Costs!$I98+International_Education_Costs!$J98+International_Education_Costs!$K98</f>
        <v>41260</v>
      </c>
    </row>
    <row r="99" spans="1:14" x14ac:dyDescent="0.3">
      <c r="A99" s="6" t="s">
        <v>12</v>
      </c>
      <c r="B99" s="6" t="s">
        <v>282</v>
      </c>
      <c r="C99" s="6" t="s">
        <v>283</v>
      </c>
      <c r="D99" s="6" t="s">
        <v>223</v>
      </c>
      <c r="E99" s="6" t="s">
        <v>75</v>
      </c>
      <c r="F99" s="6">
        <v>4</v>
      </c>
      <c r="G99" s="7">
        <v>41200</v>
      </c>
      <c r="H99" s="25">
        <v>70.2</v>
      </c>
      <c r="I99" s="17">
        <v>1300</v>
      </c>
      <c r="J99" s="7">
        <v>160</v>
      </c>
      <c r="K99" s="7">
        <v>1500</v>
      </c>
      <c r="L99" s="7">
        <v>1</v>
      </c>
      <c r="M99" s="7">
        <f>(International_Education_Costs!$G99+International_Education_Costs!$I99+International_Education_Costs!$J99+International_Education_Costs!$K99)*International_Education_Costs!$L99</f>
        <v>44160</v>
      </c>
      <c r="N99" s="7">
        <f>International_Education_Costs!$G99+International_Education_Costs!$I99+International_Education_Costs!$J99+International_Education_Costs!$K99</f>
        <v>44160</v>
      </c>
    </row>
    <row r="100" spans="1:14" x14ac:dyDescent="0.3">
      <c r="A100" s="4" t="s">
        <v>12</v>
      </c>
      <c r="B100" s="4" t="s">
        <v>284</v>
      </c>
      <c r="C100" s="4" t="s">
        <v>285</v>
      </c>
      <c r="D100" s="4" t="s">
        <v>20</v>
      </c>
      <c r="E100" s="4" t="s">
        <v>16</v>
      </c>
      <c r="F100" s="4">
        <v>2</v>
      </c>
      <c r="G100" s="5">
        <v>39800</v>
      </c>
      <c r="H100" s="24">
        <v>71.5</v>
      </c>
      <c r="I100" s="16">
        <v>1600</v>
      </c>
      <c r="J100" s="5">
        <v>160</v>
      </c>
      <c r="K100" s="5">
        <v>1500</v>
      </c>
      <c r="L100" s="5">
        <v>1</v>
      </c>
      <c r="M100" s="5">
        <f>(International_Education_Costs!$G100+International_Education_Costs!$I100+International_Education_Costs!$J100+International_Education_Costs!$K100)*International_Education_Costs!$L100</f>
        <v>43060</v>
      </c>
      <c r="N100" s="5">
        <f>International_Education_Costs!$G100+International_Education_Costs!$I100+International_Education_Costs!$J100+International_Education_Costs!$K100</f>
        <v>43060</v>
      </c>
    </row>
    <row r="101" spans="1:14" x14ac:dyDescent="0.3">
      <c r="A101" s="6" t="s">
        <v>12</v>
      </c>
      <c r="B101" s="6" t="s">
        <v>286</v>
      </c>
      <c r="C101" s="6" t="s">
        <v>287</v>
      </c>
      <c r="D101" s="6" t="s">
        <v>15</v>
      </c>
      <c r="E101" s="6" t="s">
        <v>75</v>
      </c>
      <c r="F101" s="6">
        <v>4</v>
      </c>
      <c r="G101" s="7">
        <v>42500</v>
      </c>
      <c r="H101" s="25">
        <v>72.8</v>
      </c>
      <c r="I101" s="17">
        <v>1500</v>
      </c>
      <c r="J101" s="7">
        <v>160</v>
      </c>
      <c r="K101" s="7">
        <v>1500</v>
      </c>
      <c r="L101" s="7">
        <v>1</v>
      </c>
      <c r="M101" s="7">
        <f>(International_Education_Costs!$G101+International_Education_Costs!$I101+International_Education_Costs!$J101+International_Education_Costs!$K101)*International_Education_Costs!$L101</f>
        <v>45660</v>
      </c>
      <c r="N101" s="7">
        <f>International_Education_Costs!$G101+International_Education_Costs!$I101+International_Education_Costs!$J101+International_Education_Costs!$K101</f>
        <v>45660</v>
      </c>
    </row>
    <row r="102" spans="1:14" x14ac:dyDescent="0.3">
      <c r="A102" s="4" t="s">
        <v>12</v>
      </c>
      <c r="B102" s="4" t="s">
        <v>288</v>
      </c>
      <c r="C102" s="4" t="s">
        <v>289</v>
      </c>
      <c r="D102" s="4" t="s">
        <v>63</v>
      </c>
      <c r="E102" s="4" t="s">
        <v>16</v>
      </c>
      <c r="F102" s="4">
        <v>2</v>
      </c>
      <c r="G102" s="5">
        <v>42800</v>
      </c>
      <c r="H102" s="24">
        <v>73.5</v>
      </c>
      <c r="I102" s="16">
        <v>1700</v>
      </c>
      <c r="J102" s="5">
        <v>160</v>
      </c>
      <c r="K102" s="5">
        <v>1500</v>
      </c>
      <c r="L102" s="5">
        <v>1</v>
      </c>
      <c r="M102" s="5">
        <f>(International_Education_Costs!$G102+International_Education_Costs!$I102+International_Education_Costs!$J102+International_Education_Costs!$K102)*International_Education_Costs!$L102</f>
        <v>46160</v>
      </c>
      <c r="N102" s="5">
        <f>International_Education_Costs!$G102+International_Education_Costs!$I102+International_Education_Costs!$J102+International_Education_Costs!$K102</f>
        <v>46160</v>
      </c>
    </row>
    <row r="103" spans="1:14" x14ac:dyDescent="0.3">
      <c r="A103" s="6" t="s">
        <v>17</v>
      </c>
      <c r="B103" s="6" t="s">
        <v>18</v>
      </c>
      <c r="C103" s="6" t="s">
        <v>290</v>
      </c>
      <c r="D103" s="6" t="s">
        <v>15</v>
      </c>
      <c r="E103" s="6" t="s">
        <v>16</v>
      </c>
      <c r="F103" s="6">
        <v>1</v>
      </c>
      <c r="G103" s="7">
        <v>39200</v>
      </c>
      <c r="H103" s="25">
        <v>76.2</v>
      </c>
      <c r="I103" s="17">
        <v>1900</v>
      </c>
      <c r="J103" s="7">
        <v>485</v>
      </c>
      <c r="K103" s="7">
        <v>800</v>
      </c>
      <c r="L103" s="7">
        <v>0.79</v>
      </c>
      <c r="M103" s="7">
        <f>(International_Education_Costs!$G103+International_Education_Costs!$I103+International_Education_Costs!$J103+International_Education_Costs!$K103)*International_Education_Costs!$L103</f>
        <v>33484.15</v>
      </c>
      <c r="N103" s="7">
        <f>International_Education_Costs!$G103+International_Education_Costs!$I103+International_Education_Costs!$J103+International_Education_Costs!$K103</f>
        <v>42385</v>
      </c>
    </row>
    <row r="104" spans="1:14" x14ac:dyDescent="0.3">
      <c r="A104" s="4" t="s">
        <v>17</v>
      </c>
      <c r="B104" s="4" t="s">
        <v>291</v>
      </c>
      <c r="C104" s="4" t="s">
        <v>292</v>
      </c>
      <c r="D104" s="4" t="s">
        <v>208</v>
      </c>
      <c r="E104" s="4" t="s">
        <v>75</v>
      </c>
      <c r="F104" s="4">
        <v>3</v>
      </c>
      <c r="G104" s="5">
        <v>28500</v>
      </c>
      <c r="H104" s="24">
        <v>65.8</v>
      </c>
      <c r="I104" s="16">
        <v>950</v>
      </c>
      <c r="J104" s="5">
        <v>485</v>
      </c>
      <c r="K104" s="5">
        <v>800</v>
      </c>
      <c r="L104" s="5">
        <v>0.79</v>
      </c>
      <c r="M104" s="5">
        <f>(International_Education_Costs!$G104+International_Education_Costs!$I104+International_Education_Costs!$J104+International_Education_Costs!$K104)*International_Education_Costs!$L104</f>
        <v>24280.65</v>
      </c>
      <c r="N104" s="5">
        <f>International_Education_Costs!$G104+International_Education_Costs!$I104+International_Education_Costs!$J104+International_Education_Costs!$K104</f>
        <v>30735</v>
      </c>
    </row>
    <row r="105" spans="1:14" x14ac:dyDescent="0.3">
      <c r="A105" s="6" t="s">
        <v>17</v>
      </c>
      <c r="B105" s="6" t="s">
        <v>293</v>
      </c>
      <c r="C105" s="6" t="s">
        <v>294</v>
      </c>
      <c r="D105" s="6" t="s">
        <v>20</v>
      </c>
      <c r="E105" s="6" t="s">
        <v>16</v>
      </c>
      <c r="F105" s="6">
        <v>1</v>
      </c>
      <c r="G105" s="7">
        <v>36800</v>
      </c>
      <c r="H105" s="25">
        <v>67.2</v>
      </c>
      <c r="I105" s="17">
        <v>1000</v>
      </c>
      <c r="J105" s="7">
        <v>485</v>
      </c>
      <c r="K105" s="7">
        <v>800</v>
      </c>
      <c r="L105" s="7">
        <v>0.79</v>
      </c>
      <c r="M105" s="7">
        <f>(International_Education_Costs!$G105+International_Education_Costs!$I105+International_Education_Costs!$J105+International_Education_Costs!$K105)*International_Education_Costs!$L105</f>
        <v>30877.15</v>
      </c>
      <c r="N105" s="7">
        <f>International_Education_Costs!$G105+International_Education_Costs!$I105+International_Education_Costs!$J105+International_Education_Costs!$K105</f>
        <v>39085</v>
      </c>
    </row>
    <row r="106" spans="1:14" x14ac:dyDescent="0.3">
      <c r="A106" s="4" t="s">
        <v>17</v>
      </c>
      <c r="B106" s="4" t="s">
        <v>295</v>
      </c>
      <c r="C106" s="4" t="s">
        <v>296</v>
      </c>
      <c r="D106" s="4" t="s">
        <v>40</v>
      </c>
      <c r="E106" s="4" t="s">
        <v>122</v>
      </c>
      <c r="F106" s="4">
        <v>3</v>
      </c>
      <c r="G106" s="5">
        <v>27900</v>
      </c>
      <c r="H106" s="24">
        <v>64.5</v>
      </c>
      <c r="I106" s="16">
        <v>850</v>
      </c>
      <c r="J106" s="5">
        <v>485</v>
      </c>
      <c r="K106" s="5">
        <v>800</v>
      </c>
      <c r="L106" s="5">
        <v>0.79</v>
      </c>
      <c r="M106" s="5">
        <f>(International_Education_Costs!$G106+International_Education_Costs!$I106+International_Education_Costs!$J106+International_Education_Costs!$K106)*International_Education_Costs!$L106</f>
        <v>23727.65</v>
      </c>
      <c r="N106" s="5">
        <f>International_Education_Costs!$G106+International_Education_Costs!$I106+International_Education_Costs!$J106+International_Education_Costs!$K106</f>
        <v>30035</v>
      </c>
    </row>
    <row r="107" spans="1:14" x14ac:dyDescent="0.3">
      <c r="A107" s="6" t="s">
        <v>17</v>
      </c>
      <c r="B107" s="6" t="s">
        <v>297</v>
      </c>
      <c r="C107" s="6" t="s">
        <v>298</v>
      </c>
      <c r="D107" s="6" t="s">
        <v>63</v>
      </c>
      <c r="E107" s="6" t="s">
        <v>75</v>
      </c>
      <c r="F107" s="6">
        <v>3</v>
      </c>
      <c r="G107" s="7">
        <v>29500</v>
      </c>
      <c r="H107" s="25">
        <v>66.8</v>
      </c>
      <c r="I107" s="17">
        <v>950</v>
      </c>
      <c r="J107" s="7">
        <v>485</v>
      </c>
      <c r="K107" s="7">
        <v>800</v>
      </c>
      <c r="L107" s="7">
        <v>0.79</v>
      </c>
      <c r="M107" s="7">
        <f>(International_Education_Costs!$G107+International_Education_Costs!$I107+International_Education_Costs!$J107+International_Education_Costs!$K107)*International_Education_Costs!$L107</f>
        <v>25070.65</v>
      </c>
      <c r="N107" s="7">
        <f>International_Education_Costs!$G107+International_Education_Costs!$I107+International_Education_Costs!$J107+International_Education_Costs!$K107</f>
        <v>31735</v>
      </c>
    </row>
    <row r="108" spans="1:14" x14ac:dyDescent="0.3">
      <c r="A108" s="4" t="s">
        <v>17</v>
      </c>
      <c r="B108" s="4" t="s">
        <v>299</v>
      </c>
      <c r="C108" s="4" t="s">
        <v>300</v>
      </c>
      <c r="D108" s="4" t="s">
        <v>301</v>
      </c>
      <c r="E108" s="4" t="s">
        <v>16</v>
      </c>
      <c r="F108" s="4">
        <v>1</v>
      </c>
      <c r="G108" s="5">
        <v>32400</v>
      </c>
      <c r="H108" s="24">
        <v>65.900000000000006</v>
      </c>
      <c r="I108" s="16">
        <v>900</v>
      </c>
      <c r="J108" s="5">
        <v>485</v>
      </c>
      <c r="K108" s="5">
        <v>800</v>
      </c>
      <c r="L108" s="5">
        <v>0.79</v>
      </c>
      <c r="M108" s="5">
        <f>(International_Education_Costs!$G108+International_Education_Costs!$I108+International_Education_Costs!$J108+International_Education_Costs!$K108)*International_Education_Costs!$L108</f>
        <v>27322.15</v>
      </c>
      <c r="N108" s="5">
        <f>International_Education_Costs!$G108+International_Education_Costs!$I108+International_Education_Costs!$J108+International_Education_Costs!$K108</f>
        <v>34585</v>
      </c>
    </row>
    <row r="109" spans="1:14" x14ac:dyDescent="0.3">
      <c r="A109" s="6" t="s">
        <v>17</v>
      </c>
      <c r="B109" s="6" t="s">
        <v>302</v>
      </c>
      <c r="C109" s="6" t="s">
        <v>303</v>
      </c>
      <c r="D109" s="6" t="s">
        <v>15</v>
      </c>
      <c r="E109" s="6" t="s">
        <v>75</v>
      </c>
      <c r="F109" s="6">
        <v>3</v>
      </c>
      <c r="G109" s="7">
        <v>28900</v>
      </c>
      <c r="H109" s="25">
        <v>64.8</v>
      </c>
      <c r="I109" s="17">
        <v>850</v>
      </c>
      <c r="J109" s="7">
        <v>485</v>
      </c>
      <c r="K109" s="7">
        <v>800</v>
      </c>
      <c r="L109" s="7">
        <v>0.79</v>
      </c>
      <c r="M109" s="7">
        <f>(International_Education_Costs!$G109+International_Education_Costs!$I109+International_Education_Costs!$J109+International_Education_Costs!$K109)*International_Education_Costs!$L109</f>
        <v>24517.65</v>
      </c>
      <c r="N109" s="7">
        <f>International_Education_Costs!$G109+International_Education_Costs!$I109+International_Education_Costs!$J109+International_Education_Costs!$K109</f>
        <v>31035</v>
      </c>
    </row>
    <row r="110" spans="1:14" x14ac:dyDescent="0.3">
      <c r="A110" s="4" t="s">
        <v>17</v>
      </c>
      <c r="B110" s="4" t="s">
        <v>304</v>
      </c>
      <c r="C110" s="4" t="s">
        <v>305</v>
      </c>
      <c r="D110" s="4" t="s">
        <v>242</v>
      </c>
      <c r="E110" s="4" t="s">
        <v>16</v>
      </c>
      <c r="F110" s="4">
        <v>1</v>
      </c>
      <c r="G110" s="5">
        <v>31200</v>
      </c>
      <c r="H110" s="24">
        <v>64.2</v>
      </c>
      <c r="I110" s="16">
        <v>800</v>
      </c>
      <c r="J110" s="5">
        <v>485</v>
      </c>
      <c r="K110" s="5">
        <v>800</v>
      </c>
      <c r="L110" s="5">
        <v>0.79</v>
      </c>
      <c r="M110" s="5">
        <f>(International_Education_Costs!$G110+International_Education_Costs!$I110+International_Education_Costs!$J110+International_Education_Costs!$K110)*International_Education_Costs!$L110</f>
        <v>26295.15</v>
      </c>
      <c r="N110" s="5">
        <f>International_Education_Costs!$G110+International_Education_Costs!$I110+International_Education_Costs!$J110+International_Education_Costs!$K110</f>
        <v>33285</v>
      </c>
    </row>
    <row r="111" spans="1:14" x14ac:dyDescent="0.3">
      <c r="A111" s="6" t="s">
        <v>17</v>
      </c>
      <c r="B111" s="6" t="s">
        <v>306</v>
      </c>
      <c r="C111" s="6" t="s">
        <v>307</v>
      </c>
      <c r="D111" s="6" t="s">
        <v>308</v>
      </c>
      <c r="E111" s="6" t="s">
        <v>75</v>
      </c>
      <c r="F111" s="6">
        <v>3</v>
      </c>
      <c r="G111" s="7">
        <v>27500</v>
      </c>
      <c r="H111" s="25">
        <v>63.5</v>
      </c>
      <c r="I111" s="17">
        <v>750</v>
      </c>
      <c r="J111" s="7">
        <v>485</v>
      </c>
      <c r="K111" s="7">
        <v>800</v>
      </c>
      <c r="L111" s="7">
        <v>0.79</v>
      </c>
      <c r="M111" s="7">
        <f>(International_Education_Costs!$G111+International_Education_Costs!$I111+International_Education_Costs!$J111+International_Education_Costs!$K111)*International_Education_Costs!$L111</f>
        <v>23332.65</v>
      </c>
      <c r="N111" s="7">
        <f>International_Education_Costs!$G111+International_Education_Costs!$I111+International_Education_Costs!$J111+International_Education_Costs!$K111</f>
        <v>29535</v>
      </c>
    </row>
    <row r="112" spans="1:14" x14ac:dyDescent="0.3">
      <c r="A112" s="4" t="s">
        <v>17</v>
      </c>
      <c r="B112" s="4" t="s">
        <v>232</v>
      </c>
      <c r="C112" s="4" t="s">
        <v>309</v>
      </c>
      <c r="D112" s="4" t="s">
        <v>71</v>
      </c>
      <c r="E112" s="4" t="s">
        <v>16</v>
      </c>
      <c r="F112" s="4">
        <v>1</v>
      </c>
      <c r="G112" s="5">
        <v>30800</v>
      </c>
      <c r="H112" s="24">
        <v>64.599999999999994</v>
      </c>
      <c r="I112" s="16">
        <v>800</v>
      </c>
      <c r="J112" s="5">
        <v>485</v>
      </c>
      <c r="K112" s="5">
        <v>800</v>
      </c>
      <c r="L112" s="5">
        <v>0.79</v>
      </c>
      <c r="M112" s="5">
        <f>(International_Education_Costs!$G112+International_Education_Costs!$I112+International_Education_Costs!$J112+International_Education_Costs!$K112)*International_Education_Costs!$L112</f>
        <v>25979.15</v>
      </c>
      <c r="N112" s="5">
        <f>International_Education_Costs!$G112+International_Education_Costs!$I112+International_Education_Costs!$J112+International_Education_Costs!$K112</f>
        <v>32885</v>
      </c>
    </row>
    <row r="113" spans="1:14" x14ac:dyDescent="0.3">
      <c r="A113" s="6" t="s">
        <v>21</v>
      </c>
      <c r="B113" s="6" t="s">
        <v>310</v>
      </c>
      <c r="C113" s="6" t="s">
        <v>311</v>
      </c>
      <c r="D113" s="6" t="s">
        <v>208</v>
      </c>
      <c r="E113" s="6" t="s">
        <v>75</v>
      </c>
      <c r="F113" s="6">
        <v>4</v>
      </c>
      <c r="G113" s="7">
        <v>32500</v>
      </c>
      <c r="H113" s="25">
        <v>68.5</v>
      </c>
      <c r="I113" s="17">
        <v>1200</v>
      </c>
      <c r="J113" s="7">
        <v>235</v>
      </c>
      <c r="K113" s="7">
        <v>900</v>
      </c>
      <c r="L113" s="7">
        <v>1.35</v>
      </c>
      <c r="M113" s="7">
        <f>(International_Education_Costs!$G113+International_Education_Costs!$I113+International_Education_Costs!$J113+International_Education_Costs!$K113)*International_Education_Costs!$L113</f>
        <v>47027.25</v>
      </c>
      <c r="N113" s="7">
        <f>International_Education_Costs!$G113+International_Education_Costs!$I113+International_Education_Costs!$J113+International_Education_Costs!$K113</f>
        <v>34835</v>
      </c>
    </row>
    <row r="114" spans="1:14" x14ac:dyDescent="0.3">
      <c r="A114" s="4" t="s">
        <v>21</v>
      </c>
      <c r="B114" s="4" t="s">
        <v>312</v>
      </c>
      <c r="C114" s="4" t="s">
        <v>313</v>
      </c>
      <c r="D114" s="4" t="s">
        <v>15</v>
      </c>
      <c r="E114" s="4" t="s">
        <v>16</v>
      </c>
      <c r="F114" s="4">
        <v>2</v>
      </c>
      <c r="G114" s="5">
        <v>29800</v>
      </c>
      <c r="H114" s="24">
        <v>65.8</v>
      </c>
      <c r="I114" s="16">
        <v>1100</v>
      </c>
      <c r="J114" s="5">
        <v>235</v>
      </c>
      <c r="K114" s="5">
        <v>900</v>
      </c>
      <c r="L114" s="5">
        <v>1.35</v>
      </c>
      <c r="M114" s="5">
        <f>(International_Education_Costs!$G114+International_Education_Costs!$I114+International_Education_Costs!$J114+International_Education_Costs!$K114)*International_Education_Costs!$L114</f>
        <v>43247.25</v>
      </c>
      <c r="N114" s="5">
        <f>International_Education_Costs!$G114+International_Education_Costs!$I114+International_Education_Costs!$J114+International_Education_Costs!$K114</f>
        <v>32035</v>
      </c>
    </row>
    <row r="115" spans="1:14" x14ac:dyDescent="0.3">
      <c r="A115" s="6" t="s">
        <v>21</v>
      </c>
      <c r="B115" s="6" t="s">
        <v>314</v>
      </c>
      <c r="C115" s="6" t="s">
        <v>315</v>
      </c>
      <c r="D115" s="6" t="s">
        <v>20</v>
      </c>
      <c r="E115" s="6" t="s">
        <v>16</v>
      </c>
      <c r="F115" s="6">
        <v>2</v>
      </c>
      <c r="G115" s="7">
        <v>28500</v>
      </c>
      <c r="H115" s="25">
        <v>64.5</v>
      </c>
      <c r="I115" s="17">
        <v>1200</v>
      </c>
      <c r="J115" s="7">
        <v>235</v>
      </c>
      <c r="K115" s="7">
        <v>900</v>
      </c>
      <c r="L115" s="7">
        <v>1.35</v>
      </c>
      <c r="M115" s="7">
        <f>(International_Education_Costs!$G115+International_Education_Costs!$I115+International_Education_Costs!$J115+International_Education_Costs!$K115)*International_Education_Costs!$L115</f>
        <v>41627.25</v>
      </c>
      <c r="N115" s="7">
        <f>International_Education_Costs!$G115+International_Education_Costs!$I115+International_Education_Costs!$J115+International_Education_Costs!$K115</f>
        <v>30835</v>
      </c>
    </row>
    <row r="116" spans="1:14" x14ac:dyDescent="0.3">
      <c r="A116" s="4" t="s">
        <v>21</v>
      </c>
      <c r="B116" s="4" t="s">
        <v>316</v>
      </c>
      <c r="C116" s="4" t="s">
        <v>317</v>
      </c>
      <c r="D116" s="4" t="s">
        <v>63</v>
      </c>
      <c r="E116" s="4" t="s">
        <v>75</v>
      </c>
      <c r="F116" s="4">
        <v>4</v>
      </c>
      <c r="G116" s="5">
        <v>27900</v>
      </c>
      <c r="H116" s="24">
        <v>69.2</v>
      </c>
      <c r="I116" s="16">
        <v>1300</v>
      </c>
      <c r="J116" s="5">
        <v>235</v>
      </c>
      <c r="K116" s="5">
        <v>900</v>
      </c>
      <c r="L116" s="5">
        <v>1.35</v>
      </c>
      <c r="M116" s="5">
        <f>(International_Education_Costs!$G116+International_Education_Costs!$I116+International_Education_Costs!$J116+International_Education_Costs!$K116)*International_Education_Costs!$L116</f>
        <v>40952.25</v>
      </c>
      <c r="N116" s="5">
        <f>International_Education_Costs!$G116+International_Education_Costs!$I116+International_Education_Costs!$J116+International_Education_Costs!$K116</f>
        <v>30335</v>
      </c>
    </row>
    <row r="117" spans="1:14" x14ac:dyDescent="0.3">
      <c r="A117" s="6" t="s">
        <v>21</v>
      </c>
      <c r="B117" s="6" t="s">
        <v>318</v>
      </c>
      <c r="C117" s="6" t="s">
        <v>319</v>
      </c>
      <c r="D117" s="6" t="s">
        <v>40</v>
      </c>
      <c r="E117" s="6" t="s">
        <v>16</v>
      </c>
      <c r="F117" s="6">
        <v>2</v>
      </c>
      <c r="G117" s="7">
        <v>21500</v>
      </c>
      <c r="H117" s="25">
        <v>63.8</v>
      </c>
      <c r="I117" s="17">
        <v>900</v>
      </c>
      <c r="J117" s="7">
        <v>235</v>
      </c>
      <c r="K117" s="7">
        <v>900</v>
      </c>
      <c r="L117" s="7">
        <v>1.35</v>
      </c>
      <c r="M117" s="7">
        <f>(International_Education_Costs!$G117+International_Education_Costs!$I117+International_Education_Costs!$J117+International_Education_Costs!$K117)*International_Education_Costs!$L117</f>
        <v>31772.250000000004</v>
      </c>
      <c r="N117" s="7">
        <f>International_Education_Costs!$G117+International_Education_Costs!$I117+International_Education_Costs!$J117+International_Education_Costs!$K117</f>
        <v>23535</v>
      </c>
    </row>
    <row r="118" spans="1:14" x14ac:dyDescent="0.3">
      <c r="A118" s="4" t="s">
        <v>21</v>
      </c>
      <c r="B118" s="4" t="s">
        <v>320</v>
      </c>
      <c r="C118" s="4" t="s">
        <v>321</v>
      </c>
      <c r="D118" s="4" t="s">
        <v>15</v>
      </c>
      <c r="E118" s="4" t="s">
        <v>75</v>
      </c>
      <c r="F118" s="4">
        <v>4</v>
      </c>
      <c r="G118" s="5">
        <v>26800</v>
      </c>
      <c r="H118" s="24">
        <v>62.5</v>
      </c>
      <c r="I118" s="16">
        <v>950</v>
      </c>
      <c r="J118" s="5">
        <v>235</v>
      </c>
      <c r="K118" s="5">
        <v>900</v>
      </c>
      <c r="L118" s="5">
        <v>1.35</v>
      </c>
      <c r="M118" s="5">
        <f>(International_Education_Costs!$G118+International_Education_Costs!$I118+International_Education_Costs!$J118+International_Education_Costs!$K118)*International_Education_Costs!$L118</f>
        <v>38994.75</v>
      </c>
      <c r="N118" s="5">
        <f>International_Education_Costs!$G118+International_Education_Costs!$I118+International_Education_Costs!$J118+International_Education_Costs!$K118</f>
        <v>28885</v>
      </c>
    </row>
    <row r="119" spans="1:14" x14ac:dyDescent="0.3">
      <c r="A119" s="6" t="s">
        <v>21</v>
      </c>
      <c r="B119" s="6" t="s">
        <v>322</v>
      </c>
      <c r="C119" s="6" t="s">
        <v>323</v>
      </c>
      <c r="D119" s="6" t="s">
        <v>261</v>
      </c>
      <c r="E119" s="6" t="s">
        <v>75</v>
      </c>
      <c r="F119" s="6">
        <v>4</v>
      </c>
      <c r="G119" s="7">
        <v>25500</v>
      </c>
      <c r="H119" s="25">
        <v>61.8</v>
      </c>
      <c r="I119" s="17">
        <v>900</v>
      </c>
      <c r="J119" s="7">
        <v>235</v>
      </c>
      <c r="K119" s="7">
        <v>900</v>
      </c>
      <c r="L119" s="7">
        <v>1.35</v>
      </c>
      <c r="M119" s="7">
        <f>(International_Education_Costs!$G119+International_Education_Costs!$I119+International_Education_Costs!$J119+International_Education_Costs!$K119)*International_Education_Costs!$L119</f>
        <v>37172.25</v>
      </c>
      <c r="N119" s="7">
        <f>International_Education_Costs!$G119+International_Education_Costs!$I119+International_Education_Costs!$J119+International_Education_Costs!$K119</f>
        <v>27535</v>
      </c>
    </row>
    <row r="120" spans="1:14" x14ac:dyDescent="0.3">
      <c r="A120" s="4" t="s">
        <v>21</v>
      </c>
      <c r="B120" s="4" t="s">
        <v>324</v>
      </c>
      <c r="C120" s="4" t="s">
        <v>325</v>
      </c>
      <c r="D120" s="4" t="s">
        <v>15</v>
      </c>
      <c r="E120" s="4" t="s">
        <v>16</v>
      </c>
      <c r="F120" s="4">
        <v>2</v>
      </c>
      <c r="G120" s="5">
        <v>19800</v>
      </c>
      <c r="H120" s="24">
        <v>63.2</v>
      </c>
      <c r="I120" s="16">
        <v>950</v>
      </c>
      <c r="J120" s="5">
        <v>235</v>
      </c>
      <c r="K120" s="5">
        <v>900</v>
      </c>
      <c r="L120" s="5">
        <v>1.35</v>
      </c>
      <c r="M120" s="5">
        <f>(International_Education_Costs!$G120+International_Education_Costs!$I120+International_Education_Costs!$J120+International_Education_Costs!$K120)*International_Education_Costs!$L120</f>
        <v>29544.750000000004</v>
      </c>
      <c r="N120" s="5">
        <f>International_Education_Costs!$G120+International_Education_Costs!$I120+International_Education_Costs!$J120+International_Education_Costs!$K120</f>
        <v>21885</v>
      </c>
    </row>
    <row r="121" spans="1:14" x14ac:dyDescent="0.3">
      <c r="A121" s="6" t="s">
        <v>21</v>
      </c>
      <c r="B121" s="6" t="s">
        <v>326</v>
      </c>
      <c r="C121" s="6" t="s">
        <v>327</v>
      </c>
      <c r="D121" s="6" t="s">
        <v>71</v>
      </c>
      <c r="E121" s="6" t="s">
        <v>16</v>
      </c>
      <c r="F121" s="6">
        <v>2</v>
      </c>
      <c r="G121" s="7">
        <v>24500</v>
      </c>
      <c r="H121" s="25">
        <v>62.8</v>
      </c>
      <c r="I121" s="17">
        <v>1000</v>
      </c>
      <c r="J121" s="7">
        <v>235</v>
      </c>
      <c r="K121" s="7">
        <v>900</v>
      </c>
      <c r="L121" s="7">
        <v>1.35</v>
      </c>
      <c r="M121" s="7">
        <f>(International_Education_Costs!$G121+International_Education_Costs!$I121+International_Education_Costs!$J121+International_Education_Costs!$K121)*International_Education_Costs!$L121</f>
        <v>35957.25</v>
      </c>
      <c r="N121" s="7">
        <f>International_Education_Costs!$G121+International_Education_Costs!$I121+International_Education_Costs!$J121+International_Education_Costs!$K121</f>
        <v>26635</v>
      </c>
    </row>
    <row r="122" spans="1:14" x14ac:dyDescent="0.3">
      <c r="A122" s="4" t="s">
        <v>21</v>
      </c>
      <c r="B122" s="4" t="s">
        <v>328</v>
      </c>
      <c r="C122" s="4" t="s">
        <v>329</v>
      </c>
      <c r="D122" s="4" t="s">
        <v>63</v>
      </c>
      <c r="E122" s="4" t="s">
        <v>122</v>
      </c>
      <c r="F122" s="4">
        <v>4</v>
      </c>
      <c r="G122" s="5">
        <v>20500</v>
      </c>
      <c r="H122" s="24">
        <v>61.5</v>
      </c>
      <c r="I122" s="16">
        <v>850</v>
      </c>
      <c r="J122" s="5">
        <v>235</v>
      </c>
      <c r="K122" s="5">
        <v>900</v>
      </c>
      <c r="L122" s="5">
        <v>1.35</v>
      </c>
      <c r="M122" s="5">
        <f>(International_Education_Costs!$G122+International_Education_Costs!$I122+International_Education_Costs!$J122+International_Education_Costs!$K122)*International_Education_Costs!$L122</f>
        <v>30354.750000000004</v>
      </c>
      <c r="N122" s="5">
        <f>International_Education_Costs!$G122+International_Education_Costs!$I122+International_Education_Costs!$J122+International_Education_Costs!$K122</f>
        <v>22485</v>
      </c>
    </row>
    <row r="123" spans="1:14" x14ac:dyDescent="0.3">
      <c r="A123" s="6" t="s">
        <v>12</v>
      </c>
      <c r="B123" s="6" t="s">
        <v>330</v>
      </c>
      <c r="C123" s="6" t="s">
        <v>331</v>
      </c>
      <c r="D123" s="6" t="s">
        <v>15</v>
      </c>
      <c r="E123" s="6" t="s">
        <v>16</v>
      </c>
      <c r="F123" s="6">
        <v>2</v>
      </c>
      <c r="G123" s="7">
        <v>51200</v>
      </c>
      <c r="H123" s="25">
        <v>72.400000000000006</v>
      </c>
      <c r="I123" s="17">
        <v>1800</v>
      </c>
      <c r="J123" s="7">
        <v>160</v>
      </c>
      <c r="K123" s="7">
        <v>1500</v>
      </c>
      <c r="L123" s="7">
        <v>1</v>
      </c>
      <c r="M123" s="7">
        <f>(International_Education_Costs!$G123+International_Education_Costs!$I123+International_Education_Costs!$J123+International_Education_Costs!$K123)*International_Education_Costs!$L123</f>
        <v>54660</v>
      </c>
      <c r="N123" s="7">
        <f>International_Education_Costs!$G123+International_Education_Costs!$I123+International_Education_Costs!$J123+International_Education_Costs!$K123</f>
        <v>54660</v>
      </c>
    </row>
    <row r="124" spans="1:14" x14ac:dyDescent="0.3">
      <c r="A124" s="4" t="s">
        <v>12</v>
      </c>
      <c r="B124" s="4" t="s">
        <v>332</v>
      </c>
      <c r="C124" s="4" t="s">
        <v>333</v>
      </c>
      <c r="D124" s="4" t="s">
        <v>15</v>
      </c>
      <c r="E124" s="4" t="s">
        <v>122</v>
      </c>
      <c r="F124" s="4">
        <v>5</v>
      </c>
      <c r="G124" s="5">
        <v>45800</v>
      </c>
      <c r="H124" s="24">
        <v>68.5</v>
      </c>
      <c r="I124" s="16">
        <v>1400</v>
      </c>
      <c r="J124" s="5">
        <v>160</v>
      </c>
      <c r="K124" s="5">
        <v>1500</v>
      </c>
      <c r="L124" s="5">
        <v>1</v>
      </c>
      <c r="M124" s="5">
        <f>(International_Education_Costs!$G124+International_Education_Costs!$I124+International_Education_Costs!$J124+International_Education_Costs!$K124)*International_Education_Costs!$L124</f>
        <v>48860</v>
      </c>
      <c r="N124" s="5">
        <f>International_Education_Costs!$G124+International_Education_Costs!$I124+International_Education_Costs!$J124+International_Education_Costs!$K124</f>
        <v>48860</v>
      </c>
    </row>
    <row r="125" spans="1:14" x14ac:dyDescent="0.3">
      <c r="A125" s="6" t="s">
        <v>21</v>
      </c>
      <c r="B125" s="6" t="s">
        <v>334</v>
      </c>
      <c r="C125" s="6" t="s">
        <v>335</v>
      </c>
      <c r="D125" s="6" t="s">
        <v>208</v>
      </c>
      <c r="E125" s="6" t="s">
        <v>75</v>
      </c>
      <c r="F125" s="6">
        <v>4</v>
      </c>
      <c r="G125" s="7">
        <v>26500</v>
      </c>
      <c r="H125" s="25">
        <v>69.2</v>
      </c>
      <c r="I125" s="17">
        <v>1300</v>
      </c>
      <c r="J125" s="7">
        <v>235</v>
      </c>
      <c r="K125" s="7">
        <v>900</v>
      </c>
      <c r="L125" s="7">
        <v>1.35</v>
      </c>
      <c r="M125" s="7">
        <f>(International_Education_Costs!$G125+International_Education_Costs!$I125+International_Education_Costs!$J125+International_Education_Costs!$K125)*International_Education_Costs!$L125</f>
        <v>39062.25</v>
      </c>
      <c r="N125" s="7">
        <f>International_Education_Costs!$G125+International_Education_Costs!$I125+International_Education_Costs!$J125+International_Education_Costs!$K125</f>
        <v>28935</v>
      </c>
    </row>
    <row r="126" spans="1:14" x14ac:dyDescent="0.3">
      <c r="A126" s="4" t="s">
        <v>336</v>
      </c>
      <c r="B126" s="4" t="s">
        <v>337</v>
      </c>
      <c r="C126" s="4" t="s">
        <v>338</v>
      </c>
      <c r="D126" s="4" t="s">
        <v>15</v>
      </c>
      <c r="E126" s="4" t="s">
        <v>16</v>
      </c>
      <c r="F126" s="4">
        <v>2</v>
      </c>
      <c r="G126" s="5">
        <v>0</v>
      </c>
      <c r="H126" s="24">
        <v>48.5</v>
      </c>
      <c r="I126" s="16">
        <v>600</v>
      </c>
      <c r="J126" s="5">
        <v>160</v>
      </c>
      <c r="K126" s="5">
        <v>400</v>
      </c>
      <c r="L126" s="5">
        <v>4.95</v>
      </c>
      <c r="M126" s="5">
        <f>(International_Education_Costs!$G126+International_Education_Costs!$I126+International_Education_Costs!$J126+International_Education_Costs!$K126)*International_Education_Costs!$L126</f>
        <v>5742</v>
      </c>
      <c r="N126" s="5">
        <f>International_Education_Costs!$G126+International_Education_Costs!$I126+International_Education_Costs!$J126+International_Education_Costs!$K126</f>
        <v>1160</v>
      </c>
    </row>
    <row r="127" spans="1:14" x14ac:dyDescent="0.3">
      <c r="A127" s="6" t="s">
        <v>339</v>
      </c>
      <c r="B127" s="6" t="s">
        <v>340</v>
      </c>
      <c r="C127" s="6" t="s">
        <v>341</v>
      </c>
      <c r="D127" s="6" t="s">
        <v>63</v>
      </c>
      <c r="E127" s="6" t="s">
        <v>75</v>
      </c>
      <c r="F127" s="6">
        <v>4</v>
      </c>
      <c r="G127" s="7">
        <v>1800</v>
      </c>
      <c r="H127" s="25">
        <v>42.8</v>
      </c>
      <c r="I127" s="17">
        <v>450</v>
      </c>
      <c r="J127" s="7">
        <v>100</v>
      </c>
      <c r="K127" s="7">
        <v>300</v>
      </c>
      <c r="L127" s="7">
        <v>30.5</v>
      </c>
      <c r="M127" s="7">
        <f>(International_Education_Costs!$G127+International_Education_Costs!$I127+International_Education_Costs!$J127+International_Education_Costs!$K127)*International_Education_Costs!$L127</f>
        <v>80825</v>
      </c>
      <c r="N127" s="7">
        <f>International_Education_Costs!$G127+International_Education_Costs!$I127+International_Education_Costs!$J127+International_Education_Costs!$K127</f>
        <v>2650</v>
      </c>
    </row>
    <row r="128" spans="1:14" x14ac:dyDescent="0.3">
      <c r="A128" s="4" t="s">
        <v>342</v>
      </c>
      <c r="B128" s="4" t="s">
        <v>343</v>
      </c>
      <c r="C128" s="4" t="s">
        <v>344</v>
      </c>
      <c r="D128" s="4" t="s">
        <v>345</v>
      </c>
      <c r="E128" s="4" t="s">
        <v>16</v>
      </c>
      <c r="F128" s="4">
        <v>2</v>
      </c>
      <c r="G128" s="5">
        <v>3900</v>
      </c>
      <c r="H128" s="24">
        <v>51.2</v>
      </c>
      <c r="I128" s="16">
        <v>700</v>
      </c>
      <c r="J128" s="5">
        <v>120</v>
      </c>
      <c r="K128" s="5">
        <v>350</v>
      </c>
      <c r="L128" s="5">
        <v>92.8</v>
      </c>
      <c r="M128" s="5">
        <f>(International_Education_Costs!$G128+International_Education_Costs!$I128+International_Education_Costs!$J128+International_Education_Costs!$K128)*International_Education_Costs!$L128</f>
        <v>470496</v>
      </c>
      <c r="N128" s="5">
        <f>International_Education_Costs!$G128+International_Education_Costs!$I128+International_Education_Costs!$J128+International_Education_Costs!$K128</f>
        <v>5070</v>
      </c>
    </row>
    <row r="129" spans="1:14" x14ac:dyDescent="0.3">
      <c r="A129" s="6" t="s">
        <v>346</v>
      </c>
      <c r="B129" s="6" t="s">
        <v>347</v>
      </c>
      <c r="C129" s="6" t="s">
        <v>348</v>
      </c>
      <c r="D129" s="6" t="s">
        <v>63</v>
      </c>
      <c r="E129" s="6" t="s">
        <v>75</v>
      </c>
      <c r="F129" s="6">
        <v>4</v>
      </c>
      <c r="G129" s="7">
        <v>800</v>
      </c>
      <c r="H129" s="25">
        <v>44.6</v>
      </c>
      <c r="I129" s="17">
        <v>500</v>
      </c>
      <c r="J129" s="7">
        <v>160</v>
      </c>
      <c r="K129" s="7">
        <v>400</v>
      </c>
      <c r="L129" s="7">
        <v>17.2</v>
      </c>
      <c r="M129" s="7">
        <f>(International_Education_Costs!$G129+International_Education_Costs!$I129+International_Education_Costs!$J129+International_Education_Costs!$K129)*International_Education_Costs!$L129</f>
        <v>31992</v>
      </c>
      <c r="N129" s="7">
        <f>International_Education_Costs!$G129+International_Education_Costs!$I129+International_Education_Costs!$J129+International_Education_Costs!$K129</f>
        <v>1860</v>
      </c>
    </row>
    <row r="130" spans="1:14" x14ac:dyDescent="0.3">
      <c r="A130" s="4" t="s">
        <v>349</v>
      </c>
      <c r="B130" s="4" t="s">
        <v>350</v>
      </c>
      <c r="C130" s="4" t="s">
        <v>351</v>
      </c>
      <c r="D130" s="4" t="s">
        <v>208</v>
      </c>
      <c r="E130" s="4" t="s">
        <v>16</v>
      </c>
      <c r="F130" s="4">
        <v>2</v>
      </c>
      <c r="G130" s="5">
        <v>2500</v>
      </c>
      <c r="H130" s="24">
        <v>54.8</v>
      </c>
      <c r="I130" s="16">
        <v>550</v>
      </c>
      <c r="J130" s="5">
        <v>120</v>
      </c>
      <c r="K130" s="5">
        <v>400</v>
      </c>
      <c r="L130" s="5">
        <v>0.92</v>
      </c>
      <c r="M130" s="5">
        <f>(International_Education_Costs!$G130+International_Education_Costs!$I130+International_Education_Costs!$J130+International_Education_Costs!$K130)*International_Education_Costs!$L130</f>
        <v>3284.4</v>
      </c>
      <c r="N130" s="5">
        <f>International_Education_Costs!$G130+International_Education_Costs!$I130+International_Education_Costs!$J130+International_Education_Costs!$K130</f>
        <v>3570</v>
      </c>
    </row>
    <row r="131" spans="1:14" x14ac:dyDescent="0.3">
      <c r="A131" s="6" t="s">
        <v>352</v>
      </c>
      <c r="B131" s="6" t="s">
        <v>353</v>
      </c>
      <c r="C131" s="6" t="s">
        <v>354</v>
      </c>
      <c r="D131" s="6" t="s">
        <v>15</v>
      </c>
      <c r="E131" s="6" t="s">
        <v>75</v>
      </c>
      <c r="F131" s="6">
        <v>4</v>
      </c>
      <c r="G131" s="7">
        <v>3800</v>
      </c>
      <c r="H131" s="25">
        <v>46.5</v>
      </c>
      <c r="I131" s="17">
        <v>450</v>
      </c>
      <c r="J131" s="7">
        <v>140</v>
      </c>
      <c r="K131" s="7">
        <v>300</v>
      </c>
      <c r="L131" s="7">
        <v>35.200000000000003</v>
      </c>
      <c r="M131" s="7">
        <f>(International_Education_Costs!$G131+International_Education_Costs!$I131+International_Education_Costs!$J131+International_Education_Costs!$K131)*International_Education_Costs!$L131</f>
        <v>165088</v>
      </c>
      <c r="N131" s="7">
        <f>International_Education_Costs!$G131+International_Education_Costs!$I131+International_Education_Costs!$J131+International_Education_Costs!$K131</f>
        <v>4690</v>
      </c>
    </row>
    <row r="132" spans="1:14" x14ac:dyDescent="0.3">
      <c r="A132" s="4" t="s">
        <v>355</v>
      </c>
      <c r="B132" s="4" t="s">
        <v>356</v>
      </c>
      <c r="C132" s="4" t="s">
        <v>357</v>
      </c>
      <c r="D132" s="4" t="s">
        <v>15</v>
      </c>
      <c r="E132" s="4" t="s">
        <v>75</v>
      </c>
      <c r="F132" s="4">
        <v>4</v>
      </c>
      <c r="G132" s="5">
        <v>29500</v>
      </c>
      <c r="H132" s="24">
        <v>72.400000000000006</v>
      </c>
      <c r="I132" s="16">
        <v>1200</v>
      </c>
      <c r="J132" s="5">
        <v>270</v>
      </c>
      <c r="K132" s="5">
        <v>800</v>
      </c>
      <c r="L132" s="5">
        <v>3.67</v>
      </c>
      <c r="M132" s="5">
        <f>(International_Education_Costs!$G132+International_Education_Costs!$I132+International_Education_Costs!$J132+International_Education_Costs!$K132)*International_Education_Costs!$L132</f>
        <v>116595.9</v>
      </c>
      <c r="N132" s="5">
        <f>International_Education_Costs!$G132+International_Education_Costs!$I132+International_Education_Costs!$J132+International_Education_Costs!$K132</f>
        <v>31770</v>
      </c>
    </row>
    <row r="133" spans="1:14" x14ac:dyDescent="0.3">
      <c r="A133" s="6" t="s">
        <v>12</v>
      </c>
      <c r="B133" s="6" t="s">
        <v>358</v>
      </c>
      <c r="C133" s="6" t="s">
        <v>359</v>
      </c>
      <c r="D133" s="6" t="s">
        <v>20</v>
      </c>
      <c r="E133" s="6" t="s">
        <v>16</v>
      </c>
      <c r="F133" s="6">
        <v>2</v>
      </c>
      <c r="G133" s="7">
        <v>52800</v>
      </c>
      <c r="H133" s="25">
        <v>100</v>
      </c>
      <c r="I133" s="17">
        <v>2500</v>
      </c>
      <c r="J133" s="7">
        <v>160</v>
      </c>
      <c r="K133" s="7">
        <v>1500</v>
      </c>
      <c r="L133" s="7">
        <v>1</v>
      </c>
      <c r="M133" s="7">
        <f>(International_Education_Costs!$G133+International_Education_Costs!$I133+International_Education_Costs!$J133+International_Education_Costs!$K133)*International_Education_Costs!$L133</f>
        <v>56960</v>
      </c>
      <c r="N133" s="7">
        <f>International_Education_Costs!$G133+International_Education_Costs!$I133+International_Education_Costs!$J133+International_Education_Costs!$K133</f>
        <v>56960</v>
      </c>
    </row>
    <row r="134" spans="1:14" x14ac:dyDescent="0.3">
      <c r="A134" s="4" t="s">
        <v>12</v>
      </c>
      <c r="B134" s="4" t="s">
        <v>360</v>
      </c>
      <c r="C134" s="4" t="s">
        <v>361</v>
      </c>
      <c r="D134" s="4" t="s">
        <v>15</v>
      </c>
      <c r="E134" s="4" t="s">
        <v>122</v>
      </c>
      <c r="F134" s="4">
        <v>5</v>
      </c>
      <c r="G134" s="5">
        <v>49800</v>
      </c>
      <c r="H134" s="24">
        <v>70.5</v>
      </c>
      <c r="I134" s="16">
        <v>1600</v>
      </c>
      <c r="J134" s="5">
        <v>160</v>
      </c>
      <c r="K134" s="5">
        <v>1500</v>
      </c>
      <c r="L134" s="5">
        <v>1</v>
      </c>
      <c r="M134" s="5">
        <f>(International_Education_Costs!$G134+International_Education_Costs!$I134+International_Education_Costs!$J134+International_Education_Costs!$K134)*International_Education_Costs!$L134</f>
        <v>53060</v>
      </c>
      <c r="N134" s="5">
        <f>International_Education_Costs!$G134+International_Education_Costs!$I134+International_Education_Costs!$J134+International_Education_Costs!$K134</f>
        <v>53060</v>
      </c>
    </row>
    <row r="135" spans="1:14" x14ac:dyDescent="0.3">
      <c r="A135" s="6" t="s">
        <v>60</v>
      </c>
      <c r="B135" s="6" t="s">
        <v>362</v>
      </c>
      <c r="C135" s="6" t="s">
        <v>363</v>
      </c>
      <c r="D135" s="6" t="s">
        <v>40</v>
      </c>
      <c r="E135" s="6" t="s">
        <v>16</v>
      </c>
      <c r="F135" s="6">
        <v>2</v>
      </c>
      <c r="G135" s="7">
        <v>8200</v>
      </c>
      <c r="H135" s="25">
        <v>58.4</v>
      </c>
      <c r="I135" s="17">
        <v>800</v>
      </c>
      <c r="J135" s="7">
        <v>140</v>
      </c>
      <c r="K135" s="7">
        <v>400</v>
      </c>
      <c r="L135" s="7">
        <v>7.18</v>
      </c>
      <c r="M135" s="7">
        <f>(International_Education_Costs!$G135+International_Education_Costs!$I135+International_Education_Costs!$J135+International_Education_Costs!$K135)*International_Education_Costs!$L135</f>
        <v>68497.2</v>
      </c>
      <c r="N135" s="7">
        <f>International_Education_Costs!$G135+International_Education_Costs!$I135+International_Education_Costs!$J135+International_Education_Costs!$K135</f>
        <v>9540</v>
      </c>
    </row>
    <row r="136" spans="1:14" x14ac:dyDescent="0.3">
      <c r="A136" s="4" t="s">
        <v>364</v>
      </c>
      <c r="B136" s="4" t="s">
        <v>365</v>
      </c>
      <c r="C136" s="4" t="s">
        <v>366</v>
      </c>
      <c r="D136" s="4" t="s">
        <v>15</v>
      </c>
      <c r="E136" s="4" t="s">
        <v>75</v>
      </c>
      <c r="F136" s="4">
        <v>3</v>
      </c>
      <c r="G136" s="5">
        <v>5900</v>
      </c>
      <c r="H136" s="24">
        <v>49.2</v>
      </c>
      <c r="I136" s="16">
        <v>600</v>
      </c>
      <c r="J136" s="5">
        <v>140</v>
      </c>
      <c r="K136" s="5">
        <v>400</v>
      </c>
      <c r="L136" s="5">
        <v>18.72</v>
      </c>
      <c r="M136" s="5">
        <f>(International_Education_Costs!$G136+International_Education_Costs!$I136+International_Education_Costs!$J136+International_Education_Costs!$K136)*International_Education_Costs!$L136</f>
        <v>131788.79999999999</v>
      </c>
      <c r="N136" s="5">
        <f>International_Education_Costs!$G136+International_Education_Costs!$I136+International_Education_Costs!$J136+International_Education_Costs!$K136</f>
        <v>7040</v>
      </c>
    </row>
    <row r="137" spans="1:14" x14ac:dyDescent="0.3">
      <c r="A137" s="6" t="s">
        <v>367</v>
      </c>
      <c r="B137" s="6" t="s">
        <v>368</v>
      </c>
      <c r="C137" s="6" t="s">
        <v>369</v>
      </c>
      <c r="D137" s="6" t="s">
        <v>63</v>
      </c>
      <c r="E137" s="6" t="s">
        <v>75</v>
      </c>
      <c r="F137" s="6">
        <v>4</v>
      </c>
      <c r="G137" s="7">
        <v>19800</v>
      </c>
      <c r="H137" s="25">
        <v>38.4</v>
      </c>
      <c r="I137" s="17">
        <v>450</v>
      </c>
      <c r="J137" s="7">
        <v>130</v>
      </c>
      <c r="K137" s="7">
        <v>350</v>
      </c>
      <c r="L137" s="7">
        <v>30.9</v>
      </c>
      <c r="M137" s="7">
        <f>(International_Education_Costs!$G137+International_Education_Costs!$I137+International_Education_Costs!$J137+International_Education_Costs!$K137)*International_Education_Costs!$L137</f>
        <v>640557</v>
      </c>
      <c r="N137" s="7">
        <f>International_Education_Costs!$G137+International_Education_Costs!$I137+International_Education_Costs!$J137+International_Education_Costs!$K137</f>
        <v>20730</v>
      </c>
    </row>
    <row r="138" spans="1:14" x14ac:dyDescent="0.3">
      <c r="A138" s="4" t="s">
        <v>370</v>
      </c>
      <c r="B138" s="4" t="s">
        <v>371</v>
      </c>
      <c r="C138" s="4" t="s">
        <v>372</v>
      </c>
      <c r="D138" s="4" t="s">
        <v>208</v>
      </c>
      <c r="E138" s="4" t="s">
        <v>75</v>
      </c>
      <c r="F138" s="4">
        <v>5</v>
      </c>
      <c r="G138" s="5">
        <v>0</v>
      </c>
      <c r="H138" s="24">
        <v>42.6</v>
      </c>
      <c r="I138" s="16">
        <v>400</v>
      </c>
      <c r="J138" s="5">
        <v>150</v>
      </c>
      <c r="K138" s="5">
        <v>300</v>
      </c>
      <c r="L138" s="5">
        <v>821.5</v>
      </c>
      <c r="M138" s="5">
        <f>(International_Education_Costs!$G138+International_Education_Costs!$I138+International_Education_Costs!$J138+International_Education_Costs!$K138)*International_Education_Costs!$L138</f>
        <v>698275</v>
      </c>
      <c r="N138" s="5">
        <f>International_Education_Costs!$G138+International_Education_Costs!$I138+International_Education_Costs!$J138+International_Education_Costs!$K138</f>
        <v>850</v>
      </c>
    </row>
    <row r="139" spans="1:14" x14ac:dyDescent="0.3">
      <c r="A139" s="6" t="s">
        <v>373</v>
      </c>
      <c r="B139" s="6" t="s">
        <v>374</v>
      </c>
      <c r="C139" s="6" t="s">
        <v>375</v>
      </c>
      <c r="D139" s="6" t="s">
        <v>216</v>
      </c>
      <c r="E139" s="6" t="s">
        <v>75</v>
      </c>
      <c r="F139" s="6">
        <v>4</v>
      </c>
      <c r="G139" s="7">
        <v>4200</v>
      </c>
      <c r="H139" s="25">
        <v>45.8</v>
      </c>
      <c r="I139" s="17">
        <v>500</v>
      </c>
      <c r="J139" s="7">
        <v>130</v>
      </c>
      <c r="K139" s="7">
        <v>300</v>
      </c>
      <c r="L139" s="7">
        <v>15640</v>
      </c>
      <c r="M139" s="7">
        <f>(International_Education_Costs!$G139+International_Education_Costs!$I139+International_Education_Costs!$J139+International_Education_Costs!$K139)*International_Education_Costs!$L139</f>
        <v>80233200</v>
      </c>
      <c r="N139" s="7">
        <f>International_Education_Costs!$G139+International_Education_Costs!$I139+International_Education_Costs!$J139+International_Education_Costs!$K139</f>
        <v>5130</v>
      </c>
    </row>
    <row r="140" spans="1:14" x14ac:dyDescent="0.3">
      <c r="A140" s="4" t="s">
        <v>376</v>
      </c>
      <c r="B140" s="4" t="s">
        <v>377</v>
      </c>
      <c r="C140" s="4" t="s">
        <v>378</v>
      </c>
      <c r="D140" s="4" t="s">
        <v>15</v>
      </c>
      <c r="E140" s="4" t="s">
        <v>16</v>
      </c>
      <c r="F140" s="4">
        <v>2</v>
      </c>
      <c r="G140" s="5">
        <v>7800</v>
      </c>
      <c r="H140" s="24">
        <v>52.4</v>
      </c>
      <c r="I140" s="16">
        <v>800</v>
      </c>
      <c r="J140" s="5">
        <v>250</v>
      </c>
      <c r="K140" s="5">
        <v>600</v>
      </c>
      <c r="L140" s="5">
        <v>3.75</v>
      </c>
      <c r="M140" s="5">
        <f>(International_Education_Costs!$G140+International_Education_Costs!$I140+International_Education_Costs!$J140+International_Education_Costs!$K140)*International_Education_Costs!$L140</f>
        <v>35437.5</v>
      </c>
      <c r="N140" s="5">
        <f>International_Education_Costs!$G140+International_Education_Costs!$I140+International_Education_Costs!$J140+International_Education_Costs!$K140</f>
        <v>9450</v>
      </c>
    </row>
    <row r="141" spans="1:14" x14ac:dyDescent="0.3">
      <c r="A141" s="6" t="s">
        <v>379</v>
      </c>
      <c r="B141" s="6" t="s">
        <v>380</v>
      </c>
      <c r="C141" s="6" t="s">
        <v>381</v>
      </c>
      <c r="D141" s="6" t="s">
        <v>63</v>
      </c>
      <c r="E141" s="6" t="s">
        <v>75</v>
      </c>
      <c r="F141" s="6">
        <v>4</v>
      </c>
      <c r="G141" s="7">
        <v>2500</v>
      </c>
      <c r="H141" s="25">
        <v>40.200000000000003</v>
      </c>
      <c r="I141" s="17">
        <v>400</v>
      </c>
      <c r="J141" s="7">
        <v>180</v>
      </c>
      <c r="K141" s="7">
        <v>300</v>
      </c>
      <c r="L141" s="7">
        <v>860.2</v>
      </c>
      <c r="M141" s="7">
        <f>(International_Education_Costs!$G141+International_Education_Costs!$I141+International_Education_Costs!$J141+International_Education_Costs!$K141)*International_Education_Costs!$L141</f>
        <v>2907476</v>
      </c>
      <c r="N141" s="7">
        <f>International_Education_Costs!$G141+International_Education_Costs!$I141+International_Education_Costs!$J141+International_Education_Costs!$K141</f>
        <v>3380</v>
      </c>
    </row>
    <row r="142" spans="1:14" x14ac:dyDescent="0.3">
      <c r="A142" s="4" t="s">
        <v>382</v>
      </c>
      <c r="B142" s="4" t="s">
        <v>383</v>
      </c>
      <c r="C142" s="4" t="s">
        <v>384</v>
      </c>
      <c r="D142" s="4" t="s">
        <v>208</v>
      </c>
      <c r="E142" s="4" t="s">
        <v>75</v>
      </c>
      <c r="F142" s="4">
        <v>4</v>
      </c>
      <c r="G142" s="5">
        <v>3200</v>
      </c>
      <c r="H142" s="24">
        <v>43.6</v>
      </c>
      <c r="I142" s="16">
        <v>450</v>
      </c>
      <c r="J142" s="5">
        <v>120</v>
      </c>
      <c r="K142" s="5">
        <v>250</v>
      </c>
      <c r="L142" s="5">
        <v>24450</v>
      </c>
      <c r="M142" s="5">
        <f>(International_Education_Costs!$G142+International_Education_Costs!$I142+International_Education_Costs!$J142+International_Education_Costs!$K142)*International_Education_Costs!$L142</f>
        <v>98289000</v>
      </c>
      <c r="N142" s="5">
        <f>International_Education_Costs!$G142+International_Education_Costs!$I142+International_Education_Costs!$J142+International_Education_Costs!$K142</f>
        <v>4020</v>
      </c>
    </row>
    <row r="143" spans="1:14" x14ac:dyDescent="0.3">
      <c r="A143" s="6" t="s">
        <v>37</v>
      </c>
      <c r="B143" s="6" t="s">
        <v>385</v>
      </c>
      <c r="C143" s="6" t="s">
        <v>386</v>
      </c>
      <c r="D143" s="6" t="s">
        <v>15</v>
      </c>
      <c r="E143" s="6" t="s">
        <v>16</v>
      </c>
      <c r="F143" s="6">
        <v>2</v>
      </c>
      <c r="G143" s="7">
        <v>15600</v>
      </c>
      <c r="H143" s="25">
        <v>69.8</v>
      </c>
      <c r="I143" s="17">
        <v>950</v>
      </c>
      <c r="J143" s="7">
        <v>180</v>
      </c>
      <c r="K143" s="7">
        <v>720</v>
      </c>
      <c r="L143" s="7">
        <v>0.92</v>
      </c>
      <c r="M143" s="7">
        <f>(International_Education_Costs!$G143+International_Education_Costs!$I143+International_Education_Costs!$J143+International_Education_Costs!$K143)*International_Education_Costs!$L143</f>
        <v>16054</v>
      </c>
      <c r="N143" s="7">
        <f>International_Education_Costs!$G143+International_Education_Costs!$I143+International_Education_Costs!$J143+International_Education_Costs!$K143</f>
        <v>17450</v>
      </c>
    </row>
    <row r="144" spans="1:14" x14ac:dyDescent="0.3">
      <c r="A144" s="4" t="s">
        <v>37</v>
      </c>
      <c r="B144" s="4" t="s">
        <v>387</v>
      </c>
      <c r="C144" s="4" t="s">
        <v>388</v>
      </c>
      <c r="D144" s="4" t="s">
        <v>40</v>
      </c>
      <c r="E144" s="4" t="s">
        <v>75</v>
      </c>
      <c r="F144" s="4">
        <v>3</v>
      </c>
      <c r="G144" s="5">
        <v>11200</v>
      </c>
      <c r="H144" s="24">
        <v>65.400000000000006</v>
      </c>
      <c r="I144" s="16">
        <v>750</v>
      </c>
      <c r="J144" s="5">
        <v>180</v>
      </c>
      <c r="K144" s="5">
        <v>720</v>
      </c>
      <c r="L144" s="5">
        <v>0.92</v>
      </c>
      <c r="M144" s="5">
        <f>(International_Education_Costs!$G144+International_Education_Costs!$I144+International_Education_Costs!$J144+International_Education_Costs!$K144)*International_Education_Costs!$L144</f>
        <v>11822</v>
      </c>
      <c r="N144" s="5">
        <f>International_Education_Costs!$G144+International_Education_Costs!$I144+International_Education_Costs!$J144+International_Education_Costs!$K144</f>
        <v>12850</v>
      </c>
    </row>
    <row r="145" spans="1:14" x14ac:dyDescent="0.3">
      <c r="A145" s="6" t="s">
        <v>37</v>
      </c>
      <c r="B145" s="6" t="s">
        <v>389</v>
      </c>
      <c r="C145" s="6" t="s">
        <v>390</v>
      </c>
      <c r="D145" s="6" t="s">
        <v>245</v>
      </c>
      <c r="E145" s="6" t="s">
        <v>16</v>
      </c>
      <c r="F145" s="6">
        <v>2</v>
      </c>
      <c r="G145" s="7">
        <v>14800</v>
      </c>
      <c r="H145" s="25">
        <v>66.8</v>
      </c>
      <c r="I145" s="17">
        <v>800</v>
      </c>
      <c r="J145" s="7">
        <v>180</v>
      </c>
      <c r="K145" s="7">
        <v>720</v>
      </c>
      <c r="L145" s="7">
        <v>0.92</v>
      </c>
      <c r="M145" s="7">
        <f>(International_Education_Costs!$G145+International_Education_Costs!$I145+International_Education_Costs!$J145+International_Education_Costs!$K145)*International_Education_Costs!$L145</f>
        <v>15180</v>
      </c>
      <c r="N145" s="7">
        <f>International_Education_Costs!$G145+International_Education_Costs!$I145+International_Education_Costs!$J145+International_Education_Costs!$K145</f>
        <v>16500</v>
      </c>
    </row>
    <row r="146" spans="1:14" x14ac:dyDescent="0.3">
      <c r="A146" s="4" t="s">
        <v>37</v>
      </c>
      <c r="B146" s="4" t="s">
        <v>391</v>
      </c>
      <c r="C146" s="4" t="s">
        <v>392</v>
      </c>
      <c r="D146" s="4" t="s">
        <v>20</v>
      </c>
      <c r="E146" s="4" t="s">
        <v>75</v>
      </c>
      <c r="F146" s="4">
        <v>3</v>
      </c>
      <c r="G146" s="5">
        <v>11500</v>
      </c>
      <c r="H146" s="24">
        <v>67.2</v>
      </c>
      <c r="I146" s="16">
        <v>850</v>
      </c>
      <c r="J146" s="5">
        <v>180</v>
      </c>
      <c r="K146" s="5">
        <v>720</v>
      </c>
      <c r="L146" s="5">
        <v>0.92</v>
      </c>
      <c r="M146" s="5">
        <f>(International_Education_Costs!$G146+International_Education_Costs!$I146+International_Education_Costs!$J146+International_Education_Costs!$K146)*International_Education_Costs!$L146</f>
        <v>12190</v>
      </c>
      <c r="N146" s="5">
        <f>International_Education_Costs!$G146+International_Education_Costs!$I146+International_Education_Costs!$J146+International_Education_Costs!$K146</f>
        <v>13250</v>
      </c>
    </row>
    <row r="147" spans="1:14" x14ac:dyDescent="0.3">
      <c r="A147" s="6" t="s">
        <v>37</v>
      </c>
      <c r="B147" s="6" t="s">
        <v>393</v>
      </c>
      <c r="C147" s="6" t="s">
        <v>394</v>
      </c>
      <c r="D147" s="6" t="s">
        <v>395</v>
      </c>
      <c r="E147" s="6" t="s">
        <v>16</v>
      </c>
      <c r="F147" s="6">
        <v>2</v>
      </c>
      <c r="G147" s="7">
        <v>14500</v>
      </c>
      <c r="H147" s="25">
        <v>66.5</v>
      </c>
      <c r="I147" s="17">
        <v>800</v>
      </c>
      <c r="J147" s="7">
        <v>180</v>
      </c>
      <c r="K147" s="7">
        <v>720</v>
      </c>
      <c r="L147" s="7">
        <v>0.92</v>
      </c>
      <c r="M147" s="7">
        <f>(International_Education_Costs!$G147+International_Education_Costs!$I147+International_Education_Costs!$J147+International_Education_Costs!$K147)*International_Education_Costs!$L147</f>
        <v>14904</v>
      </c>
      <c r="N147" s="7">
        <f>International_Education_Costs!$G147+International_Education_Costs!$I147+International_Education_Costs!$J147+International_Education_Costs!$K147</f>
        <v>16200</v>
      </c>
    </row>
    <row r="148" spans="1:14" x14ac:dyDescent="0.3">
      <c r="A148" s="4" t="s">
        <v>37</v>
      </c>
      <c r="B148" s="4" t="s">
        <v>396</v>
      </c>
      <c r="C148" s="4" t="s">
        <v>397</v>
      </c>
      <c r="D148" s="4" t="s">
        <v>216</v>
      </c>
      <c r="E148" s="4" t="s">
        <v>75</v>
      </c>
      <c r="F148" s="4">
        <v>3</v>
      </c>
      <c r="G148" s="5">
        <v>11300</v>
      </c>
      <c r="H148" s="24">
        <v>65.8</v>
      </c>
      <c r="I148" s="16">
        <v>750</v>
      </c>
      <c r="J148" s="5">
        <v>180</v>
      </c>
      <c r="K148" s="5">
        <v>720</v>
      </c>
      <c r="L148" s="5">
        <v>0.92</v>
      </c>
      <c r="M148" s="5">
        <f>(International_Education_Costs!$G148+International_Education_Costs!$I148+International_Education_Costs!$J148+International_Education_Costs!$K148)*International_Education_Costs!$L148</f>
        <v>11914</v>
      </c>
      <c r="N148" s="5">
        <f>International_Education_Costs!$G148+International_Education_Costs!$I148+International_Education_Costs!$J148+International_Education_Costs!$K148</f>
        <v>12950</v>
      </c>
    </row>
    <row r="149" spans="1:14" x14ac:dyDescent="0.3">
      <c r="A149" s="6" t="s">
        <v>37</v>
      </c>
      <c r="B149" s="6" t="s">
        <v>398</v>
      </c>
      <c r="C149" s="6" t="s">
        <v>399</v>
      </c>
      <c r="D149" s="6" t="s">
        <v>400</v>
      </c>
      <c r="E149" s="6" t="s">
        <v>16</v>
      </c>
      <c r="F149" s="6">
        <v>2</v>
      </c>
      <c r="G149" s="7">
        <v>15200</v>
      </c>
      <c r="H149" s="25">
        <v>70.2</v>
      </c>
      <c r="I149" s="17">
        <v>1000</v>
      </c>
      <c r="J149" s="7">
        <v>180</v>
      </c>
      <c r="K149" s="7">
        <v>720</v>
      </c>
      <c r="L149" s="7">
        <v>0.92</v>
      </c>
      <c r="M149" s="7">
        <f>(International_Education_Costs!$G149+International_Education_Costs!$I149+International_Education_Costs!$J149+International_Education_Costs!$K149)*International_Education_Costs!$L149</f>
        <v>15732</v>
      </c>
      <c r="N149" s="7">
        <f>International_Education_Costs!$G149+International_Education_Costs!$I149+International_Education_Costs!$J149+International_Education_Costs!$K149</f>
        <v>17100</v>
      </c>
    </row>
    <row r="150" spans="1:14" x14ac:dyDescent="0.3">
      <c r="A150" s="4" t="s">
        <v>37</v>
      </c>
      <c r="B150" s="4" t="s">
        <v>401</v>
      </c>
      <c r="C150" s="4" t="s">
        <v>402</v>
      </c>
      <c r="D150" s="4" t="s">
        <v>63</v>
      </c>
      <c r="E150" s="4" t="s">
        <v>75</v>
      </c>
      <c r="F150" s="4">
        <v>3</v>
      </c>
      <c r="G150" s="5">
        <v>11400</v>
      </c>
      <c r="H150" s="24">
        <v>69.5</v>
      </c>
      <c r="I150" s="16">
        <v>950</v>
      </c>
      <c r="J150" s="5">
        <v>180</v>
      </c>
      <c r="K150" s="5">
        <v>720</v>
      </c>
      <c r="L150" s="5">
        <v>0.92</v>
      </c>
      <c r="M150" s="5">
        <f>(International_Education_Costs!$G150+International_Education_Costs!$I150+International_Education_Costs!$J150+International_Education_Costs!$K150)*International_Education_Costs!$L150</f>
        <v>12190</v>
      </c>
      <c r="N150" s="5">
        <f>International_Education_Costs!$G150+International_Education_Costs!$I150+International_Education_Costs!$J150+International_Education_Costs!$K150</f>
        <v>13250</v>
      </c>
    </row>
    <row r="151" spans="1:14" x14ac:dyDescent="0.3">
      <c r="A151" s="6" t="s">
        <v>37</v>
      </c>
      <c r="B151" s="6" t="s">
        <v>403</v>
      </c>
      <c r="C151" s="6" t="s">
        <v>404</v>
      </c>
      <c r="D151" s="6" t="s">
        <v>59</v>
      </c>
      <c r="E151" s="6" t="s">
        <v>16</v>
      </c>
      <c r="F151" s="6">
        <v>2</v>
      </c>
      <c r="G151" s="7">
        <v>14900</v>
      </c>
      <c r="H151" s="25">
        <v>65.2</v>
      </c>
      <c r="I151" s="17">
        <v>750</v>
      </c>
      <c r="J151" s="7">
        <v>180</v>
      </c>
      <c r="K151" s="7">
        <v>720</v>
      </c>
      <c r="L151" s="7">
        <v>0.92</v>
      </c>
      <c r="M151" s="7">
        <f>(International_Education_Costs!$G151+International_Education_Costs!$I151+International_Education_Costs!$J151+International_Education_Costs!$K151)*International_Education_Costs!$L151</f>
        <v>15226</v>
      </c>
      <c r="N151" s="7">
        <f>International_Education_Costs!$G151+International_Education_Costs!$I151+International_Education_Costs!$J151+International_Education_Costs!$K151</f>
        <v>16550</v>
      </c>
    </row>
    <row r="152" spans="1:14" x14ac:dyDescent="0.3">
      <c r="A152" s="4" t="s">
        <v>37</v>
      </c>
      <c r="B152" s="4" t="s">
        <v>38</v>
      </c>
      <c r="C152" s="4" t="s">
        <v>405</v>
      </c>
      <c r="D152" s="4" t="s">
        <v>24</v>
      </c>
      <c r="E152" s="4" t="s">
        <v>16</v>
      </c>
      <c r="F152" s="4">
        <v>2</v>
      </c>
      <c r="G152" s="5">
        <v>15400</v>
      </c>
      <c r="H152" s="24">
        <v>73.5</v>
      </c>
      <c r="I152" s="16">
        <v>1100</v>
      </c>
      <c r="J152" s="5">
        <v>180</v>
      </c>
      <c r="K152" s="5">
        <v>720</v>
      </c>
      <c r="L152" s="5">
        <v>0.92</v>
      </c>
      <c r="M152" s="5">
        <f>(International_Education_Costs!$G152+International_Education_Costs!$I152+International_Education_Costs!$J152+International_Education_Costs!$K152)*International_Education_Costs!$L152</f>
        <v>16008</v>
      </c>
      <c r="N152" s="5">
        <f>International_Education_Costs!$G152+International_Education_Costs!$I152+International_Education_Costs!$J152+International_Education_Costs!$K152</f>
        <v>17400</v>
      </c>
    </row>
    <row r="153" spans="1:14" x14ac:dyDescent="0.3">
      <c r="A153" s="6" t="s">
        <v>41</v>
      </c>
      <c r="B153" s="6" t="s">
        <v>41</v>
      </c>
      <c r="C153" s="6" t="s">
        <v>406</v>
      </c>
      <c r="D153" s="6" t="s">
        <v>15</v>
      </c>
      <c r="E153" s="6" t="s">
        <v>75</v>
      </c>
      <c r="F153" s="6">
        <v>4</v>
      </c>
      <c r="G153" s="7">
        <v>32500</v>
      </c>
      <c r="H153" s="25">
        <v>81.099999999999994</v>
      </c>
      <c r="I153" s="17">
        <v>1500</v>
      </c>
      <c r="J153" s="7">
        <v>90</v>
      </c>
      <c r="K153" s="7">
        <v>800</v>
      </c>
      <c r="L153" s="7">
        <v>1.34</v>
      </c>
      <c r="M153" s="7">
        <f>(International_Education_Costs!$G153+International_Education_Costs!$I153+International_Education_Costs!$J153+International_Education_Costs!$K153)*International_Education_Costs!$L153</f>
        <v>46752.600000000006</v>
      </c>
      <c r="N153" s="7">
        <f>International_Education_Costs!$G153+International_Education_Costs!$I153+International_Education_Costs!$J153+International_Education_Costs!$K153</f>
        <v>34890</v>
      </c>
    </row>
    <row r="154" spans="1:14" x14ac:dyDescent="0.3">
      <c r="A154" s="4" t="s">
        <v>41</v>
      </c>
      <c r="B154" s="4" t="s">
        <v>41</v>
      </c>
      <c r="C154" s="4" t="s">
        <v>407</v>
      </c>
      <c r="D154" s="4" t="s">
        <v>216</v>
      </c>
      <c r="E154" s="4" t="s">
        <v>75</v>
      </c>
      <c r="F154" s="4">
        <v>4</v>
      </c>
      <c r="G154" s="5">
        <v>31800</v>
      </c>
      <c r="H154" s="24">
        <v>81.099999999999994</v>
      </c>
      <c r="I154" s="16">
        <v>1500</v>
      </c>
      <c r="J154" s="5">
        <v>90</v>
      </c>
      <c r="K154" s="5">
        <v>800</v>
      </c>
      <c r="L154" s="5">
        <v>1.34</v>
      </c>
      <c r="M154" s="5">
        <f>(International_Education_Costs!$G154+International_Education_Costs!$I154+International_Education_Costs!$J154+International_Education_Costs!$K154)*International_Education_Costs!$L154</f>
        <v>45814.600000000006</v>
      </c>
      <c r="N154" s="5">
        <f>International_Education_Costs!$G154+International_Education_Costs!$I154+International_Education_Costs!$J154+International_Education_Costs!$K154</f>
        <v>34190</v>
      </c>
    </row>
    <row r="155" spans="1:14" x14ac:dyDescent="0.3">
      <c r="A155" s="6" t="s">
        <v>41</v>
      </c>
      <c r="B155" s="6" t="s">
        <v>41</v>
      </c>
      <c r="C155" s="6" t="s">
        <v>408</v>
      </c>
      <c r="D155" s="6" t="s">
        <v>409</v>
      </c>
      <c r="E155" s="6" t="s">
        <v>75</v>
      </c>
      <c r="F155" s="6">
        <v>4</v>
      </c>
      <c r="G155" s="7">
        <v>31200</v>
      </c>
      <c r="H155" s="25">
        <v>81.099999999999994</v>
      </c>
      <c r="I155" s="17">
        <v>1500</v>
      </c>
      <c r="J155" s="7">
        <v>90</v>
      </c>
      <c r="K155" s="7">
        <v>800</v>
      </c>
      <c r="L155" s="7">
        <v>1.34</v>
      </c>
      <c r="M155" s="7">
        <f>(International_Education_Costs!$G155+International_Education_Costs!$I155+International_Education_Costs!$J155+International_Education_Costs!$K155)*International_Education_Costs!$L155</f>
        <v>45010.600000000006</v>
      </c>
      <c r="N155" s="7">
        <f>International_Education_Costs!$G155+International_Education_Costs!$I155+International_Education_Costs!$J155+International_Education_Costs!$K155</f>
        <v>33590</v>
      </c>
    </row>
    <row r="156" spans="1:14" x14ac:dyDescent="0.3">
      <c r="A156" s="4" t="s">
        <v>41</v>
      </c>
      <c r="B156" s="4" t="s">
        <v>41</v>
      </c>
      <c r="C156" s="4" t="s">
        <v>410</v>
      </c>
      <c r="D156" s="4" t="s">
        <v>208</v>
      </c>
      <c r="E156" s="4" t="s">
        <v>75</v>
      </c>
      <c r="F156" s="4">
        <v>4</v>
      </c>
      <c r="G156" s="5">
        <v>29800</v>
      </c>
      <c r="H156" s="24">
        <v>81.099999999999994</v>
      </c>
      <c r="I156" s="16">
        <v>1500</v>
      </c>
      <c r="J156" s="5">
        <v>90</v>
      </c>
      <c r="K156" s="5">
        <v>800</v>
      </c>
      <c r="L156" s="5">
        <v>1.34</v>
      </c>
      <c r="M156" s="5">
        <f>(International_Education_Costs!$G156+International_Education_Costs!$I156+International_Education_Costs!$J156+International_Education_Costs!$K156)*International_Education_Costs!$L156</f>
        <v>43134.600000000006</v>
      </c>
      <c r="N156" s="5">
        <f>International_Education_Costs!$G156+International_Education_Costs!$I156+International_Education_Costs!$J156+International_Education_Costs!$K156</f>
        <v>32190</v>
      </c>
    </row>
    <row r="157" spans="1:14" x14ac:dyDescent="0.3">
      <c r="A157" s="6" t="s">
        <v>41</v>
      </c>
      <c r="B157" s="6" t="s">
        <v>41</v>
      </c>
      <c r="C157" s="6" t="s">
        <v>411</v>
      </c>
      <c r="D157" s="6" t="s">
        <v>40</v>
      </c>
      <c r="E157" s="6" t="s">
        <v>16</v>
      </c>
      <c r="F157" s="6">
        <v>2</v>
      </c>
      <c r="G157" s="7">
        <v>35600</v>
      </c>
      <c r="H157" s="25">
        <v>81.099999999999994</v>
      </c>
      <c r="I157" s="17">
        <v>1500</v>
      </c>
      <c r="J157" s="7">
        <v>90</v>
      </c>
      <c r="K157" s="7">
        <v>800</v>
      </c>
      <c r="L157" s="7">
        <v>1.34</v>
      </c>
      <c r="M157" s="7">
        <f>(International_Education_Costs!$G157+International_Education_Costs!$I157+International_Education_Costs!$J157+International_Education_Costs!$K157)*International_Education_Costs!$L157</f>
        <v>50906.600000000006</v>
      </c>
      <c r="N157" s="7">
        <f>International_Education_Costs!$G157+International_Education_Costs!$I157+International_Education_Costs!$J157+International_Education_Costs!$K157</f>
        <v>37990</v>
      </c>
    </row>
    <row r="158" spans="1:14" x14ac:dyDescent="0.3">
      <c r="A158" s="4" t="s">
        <v>41</v>
      </c>
      <c r="B158" s="4" t="s">
        <v>41</v>
      </c>
      <c r="C158" s="4" t="s">
        <v>412</v>
      </c>
      <c r="D158" s="4" t="s">
        <v>413</v>
      </c>
      <c r="E158" s="4" t="s">
        <v>16</v>
      </c>
      <c r="F158" s="4">
        <v>2</v>
      </c>
      <c r="G158" s="5">
        <v>34900</v>
      </c>
      <c r="H158" s="24">
        <v>81.099999999999994</v>
      </c>
      <c r="I158" s="16">
        <v>1500</v>
      </c>
      <c r="J158" s="5">
        <v>90</v>
      </c>
      <c r="K158" s="5">
        <v>800</v>
      </c>
      <c r="L158" s="5">
        <v>1.34</v>
      </c>
      <c r="M158" s="5">
        <f>(International_Education_Costs!$G158+International_Education_Costs!$I158+International_Education_Costs!$J158+International_Education_Costs!$K158)*International_Education_Costs!$L158</f>
        <v>49968.600000000006</v>
      </c>
      <c r="N158" s="5">
        <f>International_Education_Costs!$G158+International_Education_Costs!$I158+International_Education_Costs!$J158+International_Education_Costs!$K158</f>
        <v>37290</v>
      </c>
    </row>
    <row r="159" spans="1:14" x14ac:dyDescent="0.3">
      <c r="A159" s="6" t="s">
        <v>41</v>
      </c>
      <c r="B159" s="6" t="s">
        <v>41</v>
      </c>
      <c r="C159" s="6" t="s">
        <v>408</v>
      </c>
      <c r="D159" s="6" t="s">
        <v>414</v>
      </c>
      <c r="E159" s="6" t="s">
        <v>16</v>
      </c>
      <c r="F159" s="6">
        <v>2</v>
      </c>
      <c r="G159" s="7">
        <v>33800</v>
      </c>
      <c r="H159" s="25">
        <v>81.099999999999994</v>
      </c>
      <c r="I159" s="17">
        <v>1500</v>
      </c>
      <c r="J159" s="7">
        <v>90</v>
      </c>
      <c r="K159" s="7">
        <v>800</v>
      </c>
      <c r="L159" s="7">
        <v>1.34</v>
      </c>
      <c r="M159" s="7">
        <f>(International_Education_Costs!$G159+International_Education_Costs!$I159+International_Education_Costs!$J159+International_Education_Costs!$K159)*International_Education_Costs!$L159</f>
        <v>48494.600000000006</v>
      </c>
      <c r="N159" s="7">
        <f>International_Education_Costs!$G159+International_Education_Costs!$I159+International_Education_Costs!$J159+International_Education_Costs!$K159</f>
        <v>36190</v>
      </c>
    </row>
    <row r="160" spans="1:14" x14ac:dyDescent="0.3">
      <c r="A160" s="4" t="s">
        <v>41</v>
      </c>
      <c r="B160" s="4" t="s">
        <v>41</v>
      </c>
      <c r="C160" s="4" t="s">
        <v>415</v>
      </c>
      <c r="D160" s="4" t="s">
        <v>416</v>
      </c>
      <c r="E160" s="4" t="s">
        <v>16</v>
      </c>
      <c r="F160" s="4">
        <v>2</v>
      </c>
      <c r="G160" s="5">
        <v>34200</v>
      </c>
      <c r="H160" s="24">
        <v>81.099999999999994</v>
      </c>
      <c r="I160" s="16">
        <v>1500</v>
      </c>
      <c r="J160" s="5">
        <v>90</v>
      </c>
      <c r="K160" s="5">
        <v>800</v>
      </c>
      <c r="L160" s="5">
        <v>1.34</v>
      </c>
      <c r="M160" s="5">
        <f>(International_Education_Costs!$G160+International_Education_Costs!$I160+International_Education_Costs!$J160+International_Education_Costs!$K160)*International_Education_Costs!$L160</f>
        <v>49030.600000000006</v>
      </c>
      <c r="N160" s="5">
        <f>International_Education_Costs!$G160+International_Education_Costs!$I160+International_Education_Costs!$J160+International_Education_Costs!$K160</f>
        <v>36590</v>
      </c>
    </row>
    <row r="161" spans="1:14" x14ac:dyDescent="0.3">
      <c r="A161" s="6" t="s">
        <v>41</v>
      </c>
      <c r="B161" s="6" t="s">
        <v>41</v>
      </c>
      <c r="C161" s="6" t="s">
        <v>411</v>
      </c>
      <c r="D161" s="6" t="s">
        <v>63</v>
      </c>
      <c r="E161" s="6" t="s">
        <v>122</v>
      </c>
      <c r="F161" s="6">
        <v>4</v>
      </c>
      <c r="G161" s="7">
        <v>38500</v>
      </c>
      <c r="H161" s="25">
        <v>81.099999999999994</v>
      </c>
      <c r="I161" s="17">
        <v>1500</v>
      </c>
      <c r="J161" s="7">
        <v>90</v>
      </c>
      <c r="K161" s="7">
        <v>800</v>
      </c>
      <c r="L161" s="7">
        <v>1.34</v>
      </c>
      <c r="M161" s="7">
        <f>(International_Education_Costs!$G161+International_Education_Costs!$I161+International_Education_Costs!$J161+International_Education_Costs!$K161)*International_Education_Costs!$L161</f>
        <v>54792.600000000006</v>
      </c>
      <c r="N161" s="7">
        <f>International_Education_Costs!$G161+International_Education_Costs!$I161+International_Education_Costs!$J161+International_Education_Costs!$K161</f>
        <v>40890</v>
      </c>
    </row>
    <row r="162" spans="1:14" x14ac:dyDescent="0.3">
      <c r="A162" s="4" t="s">
        <v>41</v>
      </c>
      <c r="B162" s="4" t="s">
        <v>41</v>
      </c>
      <c r="C162" s="4" t="s">
        <v>412</v>
      </c>
      <c r="D162" s="4" t="s">
        <v>417</v>
      </c>
      <c r="E162" s="4" t="s">
        <v>122</v>
      </c>
      <c r="F162" s="4">
        <v>4</v>
      </c>
      <c r="G162" s="5">
        <v>37900</v>
      </c>
      <c r="H162" s="24">
        <v>81.099999999999994</v>
      </c>
      <c r="I162" s="16">
        <v>1500</v>
      </c>
      <c r="J162" s="5">
        <v>90</v>
      </c>
      <c r="K162" s="5">
        <v>800</v>
      </c>
      <c r="L162" s="5">
        <v>1.34</v>
      </c>
      <c r="M162" s="5">
        <f>(International_Education_Costs!$G162+International_Education_Costs!$I162+International_Education_Costs!$J162+International_Education_Costs!$K162)*International_Education_Costs!$L162</f>
        <v>53988.600000000006</v>
      </c>
      <c r="N162" s="5">
        <f>International_Education_Costs!$G162+International_Education_Costs!$I162+International_Education_Costs!$J162+International_Education_Costs!$K162</f>
        <v>40290</v>
      </c>
    </row>
    <row r="163" spans="1:14" x14ac:dyDescent="0.3">
      <c r="A163" s="6" t="s">
        <v>44</v>
      </c>
      <c r="B163" s="6" t="s">
        <v>45</v>
      </c>
      <c r="C163" s="6" t="s">
        <v>418</v>
      </c>
      <c r="D163" s="6" t="s">
        <v>15</v>
      </c>
      <c r="E163" s="6" t="s">
        <v>16</v>
      </c>
      <c r="F163" s="6">
        <v>2</v>
      </c>
      <c r="G163" s="7">
        <v>15600</v>
      </c>
      <c r="H163" s="25">
        <v>74.599999999999994</v>
      </c>
      <c r="I163" s="17">
        <v>1500</v>
      </c>
      <c r="J163" s="7">
        <v>99</v>
      </c>
      <c r="K163" s="7">
        <v>650</v>
      </c>
      <c r="L163" s="7">
        <v>0.92</v>
      </c>
      <c r="M163" s="7">
        <f>(International_Education_Costs!$G163+International_Education_Costs!$I163+International_Education_Costs!$J163+International_Education_Costs!$K163)*International_Education_Costs!$L163</f>
        <v>16421.080000000002</v>
      </c>
      <c r="N163" s="7">
        <f>International_Education_Costs!$G163+International_Education_Costs!$I163+International_Education_Costs!$J163+International_Education_Costs!$K163</f>
        <v>17849</v>
      </c>
    </row>
    <row r="164" spans="1:14" x14ac:dyDescent="0.3">
      <c r="A164" s="4" t="s">
        <v>44</v>
      </c>
      <c r="B164" s="4" t="s">
        <v>419</v>
      </c>
      <c r="C164" s="4" t="s">
        <v>420</v>
      </c>
      <c r="D164" s="4" t="s">
        <v>208</v>
      </c>
      <c r="E164" s="4" t="s">
        <v>75</v>
      </c>
      <c r="F164" s="4">
        <v>3</v>
      </c>
      <c r="G164" s="5">
        <v>4200</v>
      </c>
      <c r="H164" s="24">
        <v>65.8</v>
      </c>
      <c r="I164" s="16">
        <v>750</v>
      </c>
      <c r="J164" s="5">
        <v>99</v>
      </c>
      <c r="K164" s="5">
        <v>650</v>
      </c>
      <c r="L164" s="5">
        <v>0.92</v>
      </c>
      <c r="M164" s="5">
        <f>(International_Education_Costs!$G164+International_Education_Costs!$I164+International_Education_Costs!$J164+International_Education_Costs!$K164)*International_Education_Costs!$L164</f>
        <v>5243.08</v>
      </c>
      <c r="N164" s="5">
        <f>International_Education_Costs!$G164+International_Education_Costs!$I164+International_Education_Costs!$J164+International_Education_Costs!$K164</f>
        <v>5699</v>
      </c>
    </row>
    <row r="165" spans="1:14" x14ac:dyDescent="0.3">
      <c r="A165" s="6" t="s">
        <v>44</v>
      </c>
      <c r="B165" s="6" t="s">
        <v>421</v>
      </c>
      <c r="C165" s="6" t="s">
        <v>422</v>
      </c>
      <c r="D165" s="6" t="s">
        <v>20</v>
      </c>
      <c r="E165" s="6" t="s">
        <v>16</v>
      </c>
      <c r="F165" s="6">
        <v>2</v>
      </c>
      <c r="G165" s="7">
        <v>4800</v>
      </c>
      <c r="H165" s="25">
        <v>68.5</v>
      </c>
      <c r="I165" s="17">
        <v>850</v>
      </c>
      <c r="J165" s="7">
        <v>99</v>
      </c>
      <c r="K165" s="7">
        <v>650</v>
      </c>
      <c r="L165" s="7">
        <v>0.92</v>
      </c>
      <c r="M165" s="7">
        <f>(International_Education_Costs!$G165+International_Education_Costs!$I165+International_Education_Costs!$J165+International_Education_Costs!$K165)*International_Education_Costs!$L165</f>
        <v>5887.08</v>
      </c>
      <c r="N165" s="7">
        <f>International_Education_Costs!$G165+International_Education_Costs!$I165+International_Education_Costs!$J165+International_Education_Costs!$K165</f>
        <v>6399</v>
      </c>
    </row>
    <row r="166" spans="1:14" x14ac:dyDescent="0.3">
      <c r="A166" s="4" t="s">
        <v>44</v>
      </c>
      <c r="B166" s="4" t="s">
        <v>423</v>
      </c>
      <c r="C166" s="4" t="s">
        <v>424</v>
      </c>
      <c r="D166" s="4" t="s">
        <v>40</v>
      </c>
      <c r="E166" s="4" t="s">
        <v>16</v>
      </c>
      <c r="F166" s="4">
        <v>2</v>
      </c>
      <c r="G166" s="5">
        <v>4500</v>
      </c>
      <c r="H166" s="24">
        <v>66.400000000000006</v>
      </c>
      <c r="I166" s="16">
        <v>800</v>
      </c>
      <c r="J166" s="5">
        <v>99</v>
      </c>
      <c r="K166" s="5">
        <v>650</v>
      </c>
      <c r="L166" s="5">
        <v>0.92</v>
      </c>
      <c r="M166" s="5">
        <f>(International_Education_Costs!$G166+International_Education_Costs!$I166+International_Education_Costs!$J166+International_Education_Costs!$K166)*International_Education_Costs!$L166</f>
        <v>5565.08</v>
      </c>
      <c r="N166" s="5">
        <f>International_Education_Costs!$G166+International_Education_Costs!$I166+International_Education_Costs!$J166+International_Education_Costs!$K166</f>
        <v>6049</v>
      </c>
    </row>
    <row r="167" spans="1:14" x14ac:dyDescent="0.3">
      <c r="A167" s="6" t="s">
        <v>44</v>
      </c>
      <c r="B167" s="6" t="s">
        <v>425</v>
      </c>
      <c r="C167" s="6" t="s">
        <v>426</v>
      </c>
      <c r="D167" s="6" t="s">
        <v>63</v>
      </c>
      <c r="E167" s="6" t="s">
        <v>75</v>
      </c>
      <c r="F167" s="6">
        <v>3</v>
      </c>
      <c r="G167" s="7">
        <v>3900</v>
      </c>
      <c r="H167" s="25">
        <v>69.2</v>
      </c>
      <c r="I167" s="17">
        <v>900</v>
      </c>
      <c r="J167" s="7">
        <v>99</v>
      </c>
      <c r="K167" s="7">
        <v>650</v>
      </c>
      <c r="L167" s="7">
        <v>0.92</v>
      </c>
      <c r="M167" s="7">
        <f>(International_Education_Costs!$G167+International_Education_Costs!$I167+International_Education_Costs!$J167+International_Education_Costs!$K167)*International_Education_Costs!$L167</f>
        <v>5105.08</v>
      </c>
      <c r="N167" s="7">
        <f>International_Education_Costs!$G167+International_Education_Costs!$I167+International_Education_Costs!$J167+International_Education_Costs!$K167</f>
        <v>5549</v>
      </c>
    </row>
    <row r="168" spans="1:14" x14ac:dyDescent="0.3">
      <c r="A168" s="4" t="s">
        <v>44</v>
      </c>
      <c r="B168" s="4" t="s">
        <v>427</v>
      </c>
      <c r="C168" s="4" t="s">
        <v>428</v>
      </c>
      <c r="D168" s="4" t="s">
        <v>216</v>
      </c>
      <c r="E168" s="4" t="s">
        <v>16</v>
      </c>
      <c r="F168" s="4">
        <v>2</v>
      </c>
      <c r="G168" s="5">
        <v>4200</v>
      </c>
      <c r="H168" s="24">
        <v>67.8</v>
      </c>
      <c r="I168" s="16">
        <v>850</v>
      </c>
      <c r="J168" s="5">
        <v>99</v>
      </c>
      <c r="K168" s="5">
        <v>650</v>
      </c>
      <c r="L168" s="5">
        <v>0.92</v>
      </c>
      <c r="M168" s="5">
        <f>(International_Education_Costs!$G168+International_Education_Costs!$I168+International_Education_Costs!$J168+International_Education_Costs!$K168)*International_Education_Costs!$L168</f>
        <v>5335.08</v>
      </c>
      <c r="N168" s="5">
        <f>International_Education_Costs!$G168+International_Education_Costs!$I168+International_Education_Costs!$J168+International_Education_Costs!$K168</f>
        <v>5799</v>
      </c>
    </row>
    <row r="169" spans="1:14" x14ac:dyDescent="0.3">
      <c r="A169" s="6" t="s">
        <v>44</v>
      </c>
      <c r="B169" s="6" t="s">
        <v>429</v>
      </c>
      <c r="C169" s="6" t="s">
        <v>430</v>
      </c>
      <c r="D169" s="6" t="s">
        <v>242</v>
      </c>
      <c r="E169" s="6" t="s">
        <v>75</v>
      </c>
      <c r="F169" s="6">
        <v>3</v>
      </c>
      <c r="G169" s="7">
        <v>3800</v>
      </c>
      <c r="H169" s="25">
        <v>65.5</v>
      </c>
      <c r="I169" s="17">
        <v>750</v>
      </c>
      <c r="J169" s="7">
        <v>99</v>
      </c>
      <c r="K169" s="7">
        <v>650</v>
      </c>
      <c r="L169" s="7">
        <v>0.92</v>
      </c>
      <c r="M169" s="7">
        <f>(International_Education_Costs!$G169+International_Education_Costs!$I169+International_Education_Costs!$J169+International_Education_Costs!$K169)*International_Education_Costs!$L169</f>
        <v>4875.08</v>
      </c>
      <c r="N169" s="7">
        <f>International_Education_Costs!$G169+International_Education_Costs!$I169+International_Education_Costs!$J169+International_Education_Costs!$K169</f>
        <v>5299</v>
      </c>
    </row>
    <row r="170" spans="1:14" x14ac:dyDescent="0.3">
      <c r="A170" s="4" t="s">
        <v>44</v>
      </c>
      <c r="B170" s="4" t="s">
        <v>431</v>
      </c>
      <c r="C170" s="4" t="s">
        <v>432</v>
      </c>
      <c r="D170" s="4" t="s">
        <v>301</v>
      </c>
      <c r="E170" s="4" t="s">
        <v>16</v>
      </c>
      <c r="F170" s="4">
        <v>2</v>
      </c>
      <c r="G170" s="5">
        <v>4500</v>
      </c>
      <c r="H170" s="24">
        <v>64.8</v>
      </c>
      <c r="I170" s="16">
        <v>700</v>
      </c>
      <c r="J170" s="5">
        <v>99</v>
      </c>
      <c r="K170" s="5">
        <v>650</v>
      </c>
      <c r="L170" s="5">
        <v>0.92</v>
      </c>
      <c r="M170" s="5">
        <f>(International_Education_Costs!$G170+International_Education_Costs!$I170+International_Education_Costs!$J170+International_Education_Costs!$K170)*International_Education_Costs!$L170</f>
        <v>5473.08</v>
      </c>
      <c r="N170" s="5">
        <f>International_Education_Costs!$G170+International_Education_Costs!$I170+International_Education_Costs!$J170+International_Education_Costs!$K170</f>
        <v>5949</v>
      </c>
    </row>
    <row r="171" spans="1:14" x14ac:dyDescent="0.3">
      <c r="A171" s="6" t="s">
        <v>44</v>
      </c>
      <c r="B171" s="6" t="s">
        <v>433</v>
      </c>
      <c r="C171" s="6" t="s">
        <v>434</v>
      </c>
      <c r="D171" s="6" t="s">
        <v>435</v>
      </c>
      <c r="E171" s="6" t="s">
        <v>75</v>
      </c>
      <c r="F171" s="6">
        <v>3</v>
      </c>
      <c r="G171" s="7">
        <v>3900</v>
      </c>
      <c r="H171" s="25">
        <v>66.2</v>
      </c>
      <c r="I171" s="17">
        <v>800</v>
      </c>
      <c r="J171" s="7">
        <v>99</v>
      </c>
      <c r="K171" s="7">
        <v>650</v>
      </c>
      <c r="L171" s="7">
        <v>0.92</v>
      </c>
      <c r="M171" s="7">
        <f>(International_Education_Costs!$G171+International_Education_Costs!$I171+International_Education_Costs!$J171+International_Education_Costs!$K171)*International_Education_Costs!$L171</f>
        <v>5013.08</v>
      </c>
      <c r="N171" s="7">
        <f>International_Education_Costs!$G171+International_Education_Costs!$I171+International_Education_Costs!$J171+International_Education_Costs!$K171</f>
        <v>5449</v>
      </c>
    </row>
    <row r="172" spans="1:14" x14ac:dyDescent="0.3">
      <c r="A172" s="4" t="s">
        <v>44</v>
      </c>
      <c r="B172" s="4" t="s">
        <v>436</v>
      </c>
      <c r="C172" s="4" t="s">
        <v>437</v>
      </c>
      <c r="D172" s="4" t="s">
        <v>252</v>
      </c>
      <c r="E172" s="4" t="s">
        <v>16</v>
      </c>
      <c r="F172" s="4">
        <v>2</v>
      </c>
      <c r="G172" s="5">
        <v>4100</v>
      </c>
      <c r="H172" s="24">
        <v>65.900000000000006</v>
      </c>
      <c r="I172" s="16">
        <v>750</v>
      </c>
      <c r="J172" s="5">
        <v>99</v>
      </c>
      <c r="K172" s="5">
        <v>650</v>
      </c>
      <c r="L172" s="5">
        <v>0.92</v>
      </c>
      <c r="M172" s="5">
        <f>(International_Education_Costs!$G172+International_Education_Costs!$I172+International_Education_Costs!$J172+International_Education_Costs!$K172)*International_Education_Costs!$L172</f>
        <v>5151.08</v>
      </c>
      <c r="N172" s="5">
        <f>International_Education_Costs!$G172+International_Education_Costs!$I172+International_Education_Costs!$J172+International_Education_Costs!$K172</f>
        <v>5599</v>
      </c>
    </row>
    <row r="173" spans="1:14" x14ac:dyDescent="0.3">
      <c r="A173" s="6" t="s">
        <v>48</v>
      </c>
      <c r="B173" s="6" t="s">
        <v>438</v>
      </c>
      <c r="C173" s="6" t="s">
        <v>439</v>
      </c>
      <c r="D173" s="6" t="s">
        <v>15</v>
      </c>
      <c r="E173" s="6" t="s">
        <v>16</v>
      </c>
      <c r="F173" s="6">
        <v>2</v>
      </c>
      <c r="G173" s="7">
        <v>1460</v>
      </c>
      <c r="H173" s="25">
        <v>89.8</v>
      </c>
      <c r="I173" s="17">
        <v>1900</v>
      </c>
      <c r="J173" s="7">
        <v>88</v>
      </c>
      <c r="K173" s="7">
        <v>1200</v>
      </c>
      <c r="L173" s="7">
        <v>0.89</v>
      </c>
      <c r="M173" s="7">
        <f>(International_Education_Costs!$G173+International_Education_Costs!$I173+International_Education_Costs!$J173+International_Education_Costs!$K173)*International_Education_Costs!$L173</f>
        <v>4136.72</v>
      </c>
      <c r="N173" s="7">
        <f>International_Education_Costs!$G173+International_Education_Costs!$I173+International_Education_Costs!$J173+International_Education_Costs!$K173</f>
        <v>4648</v>
      </c>
    </row>
    <row r="174" spans="1:14" x14ac:dyDescent="0.3">
      <c r="A174" s="4" t="s">
        <v>48</v>
      </c>
      <c r="B174" s="4" t="s">
        <v>440</v>
      </c>
      <c r="C174" s="4" t="s">
        <v>441</v>
      </c>
      <c r="D174" s="4" t="s">
        <v>20</v>
      </c>
      <c r="E174" s="4" t="s">
        <v>75</v>
      </c>
      <c r="F174" s="4">
        <v>3</v>
      </c>
      <c r="G174" s="5">
        <v>1380</v>
      </c>
      <c r="H174" s="24">
        <v>90.5</v>
      </c>
      <c r="I174" s="16">
        <v>2000</v>
      </c>
      <c r="J174" s="5">
        <v>88</v>
      </c>
      <c r="K174" s="5">
        <v>1200</v>
      </c>
      <c r="L174" s="5">
        <v>0.89</v>
      </c>
      <c r="M174" s="5">
        <f>(International_Education_Costs!$G174+International_Education_Costs!$I174+International_Education_Costs!$J174+International_Education_Costs!$K174)*International_Education_Costs!$L174</f>
        <v>4154.5200000000004</v>
      </c>
      <c r="N174" s="5">
        <f>International_Education_Costs!$G174+International_Education_Costs!$I174+International_Education_Costs!$J174+International_Education_Costs!$K174</f>
        <v>4668</v>
      </c>
    </row>
    <row r="175" spans="1:14" x14ac:dyDescent="0.3">
      <c r="A175" s="6" t="s">
        <v>48</v>
      </c>
      <c r="B175" s="6" t="s">
        <v>442</v>
      </c>
      <c r="C175" s="6" t="s">
        <v>443</v>
      </c>
      <c r="D175" s="6" t="s">
        <v>208</v>
      </c>
      <c r="E175" s="6" t="s">
        <v>16</v>
      </c>
      <c r="F175" s="6">
        <v>2</v>
      </c>
      <c r="G175" s="7">
        <v>1420</v>
      </c>
      <c r="H175" s="25">
        <v>85.4</v>
      </c>
      <c r="I175" s="17">
        <v>1700</v>
      </c>
      <c r="J175" s="7">
        <v>88</v>
      </c>
      <c r="K175" s="7">
        <v>1200</v>
      </c>
      <c r="L175" s="7">
        <v>0.89</v>
      </c>
      <c r="M175" s="7">
        <f>(International_Education_Costs!$G175+International_Education_Costs!$I175+International_Education_Costs!$J175+International_Education_Costs!$K175)*International_Education_Costs!$L175</f>
        <v>3923.12</v>
      </c>
      <c r="N175" s="7">
        <f>International_Education_Costs!$G175+International_Education_Costs!$I175+International_Education_Costs!$J175+International_Education_Costs!$K175</f>
        <v>4408</v>
      </c>
    </row>
    <row r="176" spans="1:14" x14ac:dyDescent="0.3">
      <c r="A176" s="4" t="s">
        <v>48</v>
      </c>
      <c r="B176" s="4" t="s">
        <v>444</v>
      </c>
      <c r="C176" s="4" t="s">
        <v>445</v>
      </c>
      <c r="D176" s="4" t="s">
        <v>446</v>
      </c>
      <c r="E176" s="4" t="s">
        <v>75</v>
      </c>
      <c r="F176" s="4">
        <v>3</v>
      </c>
      <c r="G176" s="5">
        <v>1440</v>
      </c>
      <c r="H176" s="24">
        <v>86.2</v>
      </c>
      <c r="I176" s="16">
        <v>1600</v>
      </c>
      <c r="J176" s="5">
        <v>88</v>
      </c>
      <c r="K176" s="5">
        <v>1200</v>
      </c>
      <c r="L176" s="5">
        <v>0.89</v>
      </c>
      <c r="M176" s="5">
        <f>(International_Education_Costs!$G176+International_Education_Costs!$I176+International_Education_Costs!$J176+International_Education_Costs!$K176)*International_Education_Costs!$L176</f>
        <v>3851.92</v>
      </c>
      <c r="N176" s="5">
        <f>International_Education_Costs!$G176+International_Education_Costs!$I176+International_Education_Costs!$J176+International_Education_Costs!$K176</f>
        <v>4328</v>
      </c>
    </row>
    <row r="177" spans="1:14" x14ac:dyDescent="0.3">
      <c r="A177" s="6" t="s">
        <v>48</v>
      </c>
      <c r="B177" s="6" t="s">
        <v>447</v>
      </c>
      <c r="C177" s="6" t="s">
        <v>448</v>
      </c>
      <c r="D177" s="6" t="s">
        <v>40</v>
      </c>
      <c r="E177" s="6" t="s">
        <v>16</v>
      </c>
      <c r="F177" s="6">
        <v>2</v>
      </c>
      <c r="G177" s="7">
        <v>1460</v>
      </c>
      <c r="H177" s="25">
        <v>84.5</v>
      </c>
      <c r="I177" s="17">
        <v>1500</v>
      </c>
      <c r="J177" s="7">
        <v>88</v>
      </c>
      <c r="K177" s="7">
        <v>1200</v>
      </c>
      <c r="L177" s="7">
        <v>0.89</v>
      </c>
      <c r="M177" s="7">
        <f>(International_Education_Costs!$G177+International_Education_Costs!$I177+International_Education_Costs!$J177+International_Education_Costs!$K177)*International_Education_Costs!$L177</f>
        <v>3780.7200000000003</v>
      </c>
      <c r="N177" s="7">
        <f>International_Education_Costs!$G177+International_Education_Costs!$I177+International_Education_Costs!$J177+International_Education_Costs!$K177</f>
        <v>4248</v>
      </c>
    </row>
    <row r="178" spans="1:14" x14ac:dyDescent="0.3">
      <c r="A178" s="4" t="s">
        <v>48</v>
      </c>
      <c r="B178" s="4" t="s">
        <v>449</v>
      </c>
      <c r="C178" s="4" t="s">
        <v>450</v>
      </c>
      <c r="D178" s="4" t="s">
        <v>63</v>
      </c>
      <c r="E178" s="4" t="s">
        <v>75</v>
      </c>
      <c r="F178" s="4">
        <v>3</v>
      </c>
      <c r="G178" s="5">
        <v>1380</v>
      </c>
      <c r="H178" s="24">
        <v>83.8</v>
      </c>
      <c r="I178" s="16">
        <v>1400</v>
      </c>
      <c r="J178" s="5">
        <v>88</v>
      </c>
      <c r="K178" s="5">
        <v>1200</v>
      </c>
      <c r="L178" s="5">
        <v>0.89</v>
      </c>
      <c r="M178" s="5">
        <f>(International_Education_Costs!$G178+International_Education_Costs!$I178+International_Education_Costs!$J178+International_Education_Costs!$K178)*International_Education_Costs!$L178</f>
        <v>3620.52</v>
      </c>
      <c r="N178" s="5">
        <f>International_Education_Costs!$G178+International_Education_Costs!$I178+International_Education_Costs!$J178+International_Education_Costs!$K178</f>
        <v>4068</v>
      </c>
    </row>
    <row r="179" spans="1:14" x14ac:dyDescent="0.3">
      <c r="A179" s="6" t="s">
        <v>48</v>
      </c>
      <c r="B179" s="6" t="s">
        <v>451</v>
      </c>
      <c r="C179" s="6" t="s">
        <v>452</v>
      </c>
      <c r="D179" s="6" t="s">
        <v>216</v>
      </c>
      <c r="E179" s="6" t="s">
        <v>16</v>
      </c>
      <c r="F179" s="6">
        <v>2</v>
      </c>
      <c r="G179" s="7">
        <v>1420</v>
      </c>
      <c r="H179" s="25">
        <v>84.2</v>
      </c>
      <c r="I179" s="17">
        <v>1500</v>
      </c>
      <c r="J179" s="7">
        <v>88</v>
      </c>
      <c r="K179" s="7">
        <v>1200</v>
      </c>
      <c r="L179" s="7">
        <v>0.89</v>
      </c>
      <c r="M179" s="7">
        <f>(International_Education_Costs!$G179+International_Education_Costs!$I179+International_Education_Costs!$J179+International_Education_Costs!$K179)*International_Education_Costs!$L179</f>
        <v>3745.12</v>
      </c>
      <c r="N179" s="7">
        <f>International_Education_Costs!$G179+International_Education_Costs!$I179+International_Education_Costs!$J179+International_Education_Costs!$K179</f>
        <v>4208</v>
      </c>
    </row>
    <row r="180" spans="1:14" x14ac:dyDescent="0.3">
      <c r="A180" s="4" t="s">
        <v>48</v>
      </c>
      <c r="B180" s="4" t="s">
        <v>132</v>
      </c>
      <c r="C180" s="4" t="s">
        <v>453</v>
      </c>
      <c r="D180" s="4" t="s">
        <v>454</v>
      </c>
      <c r="E180" s="4" t="s">
        <v>16</v>
      </c>
      <c r="F180" s="4">
        <v>2</v>
      </c>
      <c r="G180" s="5">
        <v>1440</v>
      </c>
      <c r="H180" s="24">
        <v>87.5</v>
      </c>
      <c r="I180" s="16">
        <v>1800</v>
      </c>
      <c r="J180" s="5">
        <v>88</v>
      </c>
      <c r="K180" s="5">
        <v>1200</v>
      </c>
      <c r="L180" s="5">
        <v>0.89</v>
      </c>
      <c r="M180" s="5">
        <f>(International_Education_Costs!$G180+International_Education_Costs!$I180+International_Education_Costs!$J180+International_Education_Costs!$K180)*International_Education_Costs!$L180</f>
        <v>4029.92</v>
      </c>
      <c r="N180" s="5">
        <f>International_Education_Costs!$G180+International_Education_Costs!$I180+International_Education_Costs!$J180+International_Education_Costs!$K180</f>
        <v>4528</v>
      </c>
    </row>
    <row r="181" spans="1:14" x14ac:dyDescent="0.3">
      <c r="A181" s="6" t="s">
        <v>48</v>
      </c>
      <c r="B181" s="6" t="s">
        <v>455</v>
      </c>
      <c r="C181" s="6" t="s">
        <v>456</v>
      </c>
      <c r="D181" s="6" t="s">
        <v>457</v>
      </c>
      <c r="E181" s="6" t="s">
        <v>75</v>
      </c>
      <c r="F181" s="6">
        <v>3</v>
      </c>
      <c r="G181" s="7">
        <v>1380</v>
      </c>
      <c r="H181" s="25">
        <v>85.8</v>
      </c>
      <c r="I181" s="17">
        <v>1600</v>
      </c>
      <c r="J181" s="7">
        <v>88</v>
      </c>
      <c r="K181" s="7">
        <v>1200</v>
      </c>
      <c r="L181" s="7">
        <v>0.89</v>
      </c>
      <c r="M181" s="7">
        <f>(International_Education_Costs!$G181+International_Education_Costs!$I181+International_Education_Costs!$J181+International_Education_Costs!$K181)*International_Education_Costs!$L181</f>
        <v>3798.52</v>
      </c>
      <c r="N181" s="7">
        <f>International_Education_Costs!$G181+International_Education_Costs!$I181+International_Education_Costs!$J181+International_Education_Costs!$K181</f>
        <v>4268</v>
      </c>
    </row>
    <row r="182" spans="1:14" x14ac:dyDescent="0.3">
      <c r="A182" s="4" t="s">
        <v>48</v>
      </c>
      <c r="B182" s="4" t="s">
        <v>458</v>
      </c>
      <c r="C182" s="4" t="s">
        <v>459</v>
      </c>
      <c r="D182" s="4" t="s">
        <v>252</v>
      </c>
      <c r="E182" s="4" t="s">
        <v>16</v>
      </c>
      <c r="F182" s="4">
        <v>2</v>
      </c>
      <c r="G182" s="5">
        <v>1460</v>
      </c>
      <c r="H182" s="24">
        <v>86.4</v>
      </c>
      <c r="I182" s="16">
        <v>1700</v>
      </c>
      <c r="J182" s="5">
        <v>88</v>
      </c>
      <c r="K182" s="5">
        <v>1200</v>
      </c>
      <c r="L182" s="5">
        <v>0.89</v>
      </c>
      <c r="M182" s="5">
        <f>(International_Education_Costs!$G182+International_Education_Costs!$I182+International_Education_Costs!$J182+International_Education_Costs!$K182)*International_Education_Costs!$L182</f>
        <v>3958.7200000000003</v>
      </c>
      <c r="N182" s="5">
        <f>International_Education_Costs!$G182+International_Education_Costs!$I182+International_Education_Costs!$J182+International_Education_Costs!$K182</f>
        <v>4448</v>
      </c>
    </row>
    <row r="183" spans="1:14" x14ac:dyDescent="0.3">
      <c r="A183" s="6" t="s">
        <v>56</v>
      </c>
      <c r="B183" s="6" t="s">
        <v>57</v>
      </c>
      <c r="C183" s="6" t="s">
        <v>58</v>
      </c>
      <c r="D183" s="6" t="s">
        <v>15</v>
      </c>
      <c r="E183" s="6" t="s">
        <v>16</v>
      </c>
      <c r="F183" s="6">
        <v>2</v>
      </c>
      <c r="G183" s="7">
        <v>8800</v>
      </c>
      <c r="H183" s="25">
        <v>83.2</v>
      </c>
      <c r="I183" s="17">
        <v>1500</v>
      </c>
      <c r="J183" s="7">
        <v>110</v>
      </c>
      <c r="K183" s="7">
        <v>600</v>
      </c>
      <c r="L183" s="7">
        <v>0.15</v>
      </c>
      <c r="M183" s="7">
        <f>(International_Education_Costs!$G183+International_Education_Costs!$I183+International_Education_Costs!$J183+International_Education_Costs!$K183)*International_Education_Costs!$L183</f>
        <v>1651.5</v>
      </c>
      <c r="N183" s="7">
        <f>International_Education_Costs!$G183+International_Education_Costs!$I183+International_Education_Costs!$J183+International_Education_Costs!$K183</f>
        <v>11010</v>
      </c>
    </row>
    <row r="184" spans="1:14" x14ac:dyDescent="0.3">
      <c r="A184" s="4" t="s">
        <v>56</v>
      </c>
      <c r="B184" s="4" t="s">
        <v>460</v>
      </c>
      <c r="C184" s="4" t="s">
        <v>461</v>
      </c>
      <c r="D184" s="4" t="s">
        <v>20</v>
      </c>
      <c r="E184" s="4" t="s">
        <v>16</v>
      </c>
      <c r="F184" s="4">
        <v>2</v>
      </c>
      <c r="G184" s="5">
        <v>8600</v>
      </c>
      <c r="H184" s="24">
        <v>77.400000000000006</v>
      </c>
      <c r="I184" s="16">
        <v>1200</v>
      </c>
      <c r="J184" s="5">
        <v>110</v>
      </c>
      <c r="K184" s="5">
        <v>600</v>
      </c>
      <c r="L184" s="5">
        <v>0.15</v>
      </c>
      <c r="M184" s="5">
        <f>(International_Education_Costs!$G184+International_Education_Costs!$I184+International_Education_Costs!$J184+International_Education_Costs!$K184)*International_Education_Costs!$L184</f>
        <v>1576.5</v>
      </c>
      <c r="N184" s="5">
        <f>International_Education_Costs!$G184+International_Education_Costs!$I184+International_Education_Costs!$J184+International_Education_Costs!$K184</f>
        <v>10510</v>
      </c>
    </row>
    <row r="185" spans="1:14" x14ac:dyDescent="0.3">
      <c r="A185" s="6" t="s">
        <v>56</v>
      </c>
      <c r="B185" s="6" t="s">
        <v>159</v>
      </c>
      <c r="C185" s="6" t="s">
        <v>160</v>
      </c>
      <c r="D185" s="6" t="s">
        <v>208</v>
      </c>
      <c r="E185" s="6" t="s">
        <v>16</v>
      </c>
      <c r="F185" s="6">
        <v>2</v>
      </c>
      <c r="G185" s="7">
        <v>8400</v>
      </c>
      <c r="H185" s="25">
        <v>75.099999999999994</v>
      </c>
      <c r="I185" s="17">
        <v>1000</v>
      </c>
      <c r="J185" s="7">
        <v>110</v>
      </c>
      <c r="K185" s="7">
        <v>600</v>
      </c>
      <c r="L185" s="7">
        <v>0.15</v>
      </c>
      <c r="M185" s="7">
        <f>(International_Education_Costs!$G185+International_Education_Costs!$I185+International_Education_Costs!$J185+International_Education_Costs!$K185)*International_Education_Costs!$L185</f>
        <v>1516.5</v>
      </c>
      <c r="N185" s="7">
        <f>International_Education_Costs!$G185+International_Education_Costs!$I185+International_Education_Costs!$J185+International_Education_Costs!$K185</f>
        <v>10110</v>
      </c>
    </row>
    <row r="186" spans="1:14" x14ac:dyDescent="0.3">
      <c r="A186" s="4" t="s">
        <v>60</v>
      </c>
      <c r="B186" s="4" t="s">
        <v>61</v>
      </c>
      <c r="C186" s="4" t="s">
        <v>62</v>
      </c>
      <c r="D186" s="4" t="s">
        <v>15</v>
      </c>
      <c r="E186" s="4" t="s">
        <v>16</v>
      </c>
      <c r="F186" s="4">
        <v>3</v>
      </c>
      <c r="G186" s="5">
        <v>8900</v>
      </c>
      <c r="H186" s="24">
        <v>51.2</v>
      </c>
      <c r="I186" s="16">
        <v>800</v>
      </c>
      <c r="J186" s="5">
        <v>140</v>
      </c>
      <c r="K186" s="5">
        <v>400</v>
      </c>
      <c r="L186" s="5">
        <v>7.15</v>
      </c>
      <c r="M186" s="5">
        <f>(International_Education_Costs!$G186+International_Education_Costs!$I186+International_Education_Costs!$J186+International_Education_Costs!$K186)*International_Education_Costs!$L186</f>
        <v>73216</v>
      </c>
      <c r="N186" s="5">
        <f>International_Education_Costs!$G186+International_Education_Costs!$I186+International_Education_Costs!$J186+International_Education_Costs!$K186</f>
        <v>10240</v>
      </c>
    </row>
    <row r="187" spans="1:14" x14ac:dyDescent="0.3">
      <c r="A187" s="6" t="s">
        <v>60</v>
      </c>
      <c r="B187" s="6" t="s">
        <v>61</v>
      </c>
      <c r="C187" s="6" t="s">
        <v>462</v>
      </c>
      <c r="D187" s="6" t="s">
        <v>20</v>
      </c>
      <c r="E187" s="6" t="s">
        <v>16</v>
      </c>
      <c r="F187" s="6">
        <v>3</v>
      </c>
      <c r="G187" s="7">
        <v>8500</v>
      </c>
      <c r="H187" s="25">
        <v>51.2</v>
      </c>
      <c r="I187" s="17">
        <v>750</v>
      </c>
      <c r="J187" s="7">
        <v>140</v>
      </c>
      <c r="K187" s="7">
        <v>400</v>
      </c>
      <c r="L187" s="7">
        <v>7.15</v>
      </c>
      <c r="M187" s="7">
        <f>(International_Education_Costs!$G187+International_Education_Costs!$I187+International_Education_Costs!$J187+International_Education_Costs!$K187)*International_Education_Costs!$L187</f>
        <v>69998.5</v>
      </c>
      <c r="N187" s="7">
        <f>International_Education_Costs!$G187+International_Education_Costs!$I187+International_Education_Costs!$J187+International_Education_Costs!$K187</f>
        <v>9790</v>
      </c>
    </row>
    <row r="188" spans="1:14" x14ac:dyDescent="0.3">
      <c r="A188" s="4" t="s">
        <v>60</v>
      </c>
      <c r="B188" s="4" t="s">
        <v>463</v>
      </c>
      <c r="C188" s="4" t="s">
        <v>464</v>
      </c>
      <c r="D188" s="4" t="s">
        <v>208</v>
      </c>
      <c r="E188" s="4" t="s">
        <v>16</v>
      </c>
      <c r="F188" s="4">
        <v>2.5</v>
      </c>
      <c r="G188" s="5">
        <v>7800</v>
      </c>
      <c r="H188" s="24">
        <v>48.9</v>
      </c>
      <c r="I188" s="16">
        <v>700</v>
      </c>
      <c r="J188" s="5">
        <v>140</v>
      </c>
      <c r="K188" s="5">
        <v>400</v>
      </c>
      <c r="L188" s="5">
        <v>7.15</v>
      </c>
      <c r="M188" s="5">
        <f>(International_Education_Costs!$G188+International_Education_Costs!$I188+International_Education_Costs!$J188+International_Education_Costs!$K188)*International_Education_Costs!$L188</f>
        <v>64636</v>
      </c>
      <c r="N188" s="5">
        <f>International_Education_Costs!$G188+International_Education_Costs!$I188+International_Education_Costs!$J188+International_Education_Costs!$K188</f>
        <v>9040</v>
      </c>
    </row>
    <row r="189" spans="1:14" x14ac:dyDescent="0.3">
      <c r="A189" s="6" t="s">
        <v>60</v>
      </c>
      <c r="B189" s="6" t="s">
        <v>463</v>
      </c>
      <c r="C189" s="6" t="s">
        <v>465</v>
      </c>
      <c r="D189" s="6" t="s">
        <v>40</v>
      </c>
      <c r="E189" s="6" t="s">
        <v>16</v>
      </c>
      <c r="F189" s="6">
        <v>2.5</v>
      </c>
      <c r="G189" s="7">
        <v>8200</v>
      </c>
      <c r="H189" s="25">
        <v>48.9</v>
      </c>
      <c r="I189" s="17">
        <v>720</v>
      </c>
      <c r="J189" s="7">
        <v>140</v>
      </c>
      <c r="K189" s="7">
        <v>400</v>
      </c>
      <c r="L189" s="7">
        <v>7.15</v>
      </c>
      <c r="M189" s="7">
        <f>(International_Education_Costs!$G189+International_Education_Costs!$I189+International_Education_Costs!$J189+International_Education_Costs!$K189)*International_Education_Costs!$L189</f>
        <v>67639</v>
      </c>
      <c r="N189" s="7">
        <f>International_Education_Costs!$G189+International_Education_Costs!$I189+International_Education_Costs!$J189+International_Education_Costs!$K189</f>
        <v>9460</v>
      </c>
    </row>
    <row r="190" spans="1:14" x14ac:dyDescent="0.3">
      <c r="A190" s="4" t="s">
        <v>60</v>
      </c>
      <c r="B190" s="4" t="s">
        <v>466</v>
      </c>
      <c r="C190" s="4" t="s">
        <v>467</v>
      </c>
      <c r="D190" s="4" t="s">
        <v>63</v>
      </c>
      <c r="E190" s="4" t="s">
        <v>16</v>
      </c>
      <c r="F190" s="4">
        <v>3</v>
      </c>
      <c r="G190" s="5">
        <v>7500</v>
      </c>
      <c r="H190" s="24">
        <v>45.3</v>
      </c>
      <c r="I190" s="16">
        <v>550</v>
      </c>
      <c r="J190" s="5">
        <v>140</v>
      </c>
      <c r="K190" s="5">
        <v>400</v>
      </c>
      <c r="L190" s="5">
        <v>7.15</v>
      </c>
      <c r="M190" s="5">
        <f>(International_Education_Costs!$G190+International_Education_Costs!$I190+International_Education_Costs!$J190+International_Education_Costs!$K190)*International_Education_Costs!$L190</f>
        <v>61418.5</v>
      </c>
      <c r="N190" s="5">
        <f>International_Education_Costs!$G190+International_Education_Costs!$I190+International_Education_Costs!$J190+International_Education_Costs!$K190</f>
        <v>8590</v>
      </c>
    </row>
    <row r="191" spans="1:14" x14ac:dyDescent="0.3">
      <c r="A191" s="6" t="s">
        <v>60</v>
      </c>
      <c r="B191" s="6" t="s">
        <v>468</v>
      </c>
      <c r="C191" s="6" t="s">
        <v>469</v>
      </c>
      <c r="D191" s="6" t="s">
        <v>223</v>
      </c>
      <c r="E191" s="6" t="s">
        <v>16</v>
      </c>
      <c r="F191" s="6">
        <v>3</v>
      </c>
      <c r="G191" s="7">
        <v>7200</v>
      </c>
      <c r="H191" s="25">
        <v>44.1</v>
      </c>
      <c r="I191" s="17">
        <v>500</v>
      </c>
      <c r="J191" s="7">
        <v>140</v>
      </c>
      <c r="K191" s="7">
        <v>400</v>
      </c>
      <c r="L191" s="7">
        <v>7.15</v>
      </c>
      <c r="M191" s="7">
        <f>(International_Education_Costs!$G191+International_Education_Costs!$I191+International_Education_Costs!$J191+International_Education_Costs!$K191)*International_Education_Costs!$L191</f>
        <v>58916</v>
      </c>
      <c r="N191" s="7">
        <f>International_Education_Costs!$G191+International_Education_Costs!$I191+International_Education_Costs!$J191+International_Education_Costs!$K191</f>
        <v>8240</v>
      </c>
    </row>
    <row r="192" spans="1:14" x14ac:dyDescent="0.3">
      <c r="A192" s="4" t="s">
        <v>60</v>
      </c>
      <c r="B192" s="4" t="s">
        <v>470</v>
      </c>
      <c r="C192" s="4" t="s">
        <v>471</v>
      </c>
      <c r="D192" s="4" t="s">
        <v>15</v>
      </c>
      <c r="E192" s="4" t="s">
        <v>16</v>
      </c>
      <c r="F192" s="4">
        <v>3</v>
      </c>
      <c r="G192" s="5">
        <v>6900</v>
      </c>
      <c r="H192" s="24">
        <v>43.8</v>
      </c>
      <c r="I192" s="16">
        <v>480</v>
      </c>
      <c r="J192" s="5">
        <v>140</v>
      </c>
      <c r="K192" s="5">
        <v>400</v>
      </c>
      <c r="L192" s="5">
        <v>7.15</v>
      </c>
      <c r="M192" s="5">
        <f>(International_Education_Costs!$G192+International_Education_Costs!$I192+International_Education_Costs!$J192+International_Education_Costs!$K192)*International_Education_Costs!$L192</f>
        <v>56628</v>
      </c>
      <c r="N192" s="5">
        <f>International_Education_Costs!$G192+International_Education_Costs!$I192+International_Education_Costs!$J192+International_Education_Costs!$K192</f>
        <v>7920</v>
      </c>
    </row>
    <row r="193" spans="1:14" x14ac:dyDescent="0.3">
      <c r="A193" s="6" t="s">
        <v>60</v>
      </c>
      <c r="B193" s="6" t="s">
        <v>472</v>
      </c>
      <c r="C193" s="6" t="s">
        <v>473</v>
      </c>
      <c r="D193" s="6" t="s">
        <v>208</v>
      </c>
      <c r="E193" s="6" t="s">
        <v>16</v>
      </c>
      <c r="F193" s="6">
        <v>3</v>
      </c>
      <c r="G193" s="7">
        <v>6500</v>
      </c>
      <c r="H193" s="25">
        <v>41.2</v>
      </c>
      <c r="I193" s="17">
        <v>450</v>
      </c>
      <c r="J193" s="7">
        <v>140</v>
      </c>
      <c r="K193" s="7">
        <v>400</v>
      </c>
      <c r="L193" s="7">
        <v>7.15</v>
      </c>
      <c r="M193" s="7">
        <f>(International_Education_Costs!$G193+International_Education_Costs!$I193+International_Education_Costs!$J193+International_Education_Costs!$K193)*International_Education_Costs!$L193</f>
        <v>53553.5</v>
      </c>
      <c r="N193" s="7">
        <f>International_Education_Costs!$G193+International_Education_Costs!$I193+International_Education_Costs!$J193+International_Education_Costs!$K193</f>
        <v>7490</v>
      </c>
    </row>
    <row r="194" spans="1:14" x14ac:dyDescent="0.3">
      <c r="A194" s="4" t="s">
        <v>60</v>
      </c>
      <c r="B194" s="4" t="s">
        <v>474</v>
      </c>
      <c r="C194" s="4" t="s">
        <v>475</v>
      </c>
      <c r="D194" s="4" t="s">
        <v>20</v>
      </c>
      <c r="E194" s="4" t="s">
        <v>16</v>
      </c>
      <c r="F194" s="4">
        <v>3</v>
      </c>
      <c r="G194" s="5">
        <v>6300</v>
      </c>
      <c r="H194" s="24">
        <v>40.5</v>
      </c>
      <c r="I194" s="16">
        <v>420</v>
      </c>
      <c r="J194" s="5">
        <v>140</v>
      </c>
      <c r="K194" s="5">
        <v>400</v>
      </c>
      <c r="L194" s="5">
        <v>7.15</v>
      </c>
      <c r="M194" s="5">
        <f>(International_Education_Costs!$G194+International_Education_Costs!$I194+International_Education_Costs!$J194+International_Education_Costs!$K194)*International_Education_Costs!$L194</f>
        <v>51909</v>
      </c>
      <c r="N194" s="5">
        <f>International_Education_Costs!$G194+International_Education_Costs!$I194+International_Education_Costs!$J194+International_Education_Costs!$K194</f>
        <v>7260</v>
      </c>
    </row>
    <row r="195" spans="1:14" x14ac:dyDescent="0.3">
      <c r="A195" s="6" t="s">
        <v>60</v>
      </c>
      <c r="B195" s="6" t="s">
        <v>476</v>
      </c>
      <c r="C195" s="6" t="s">
        <v>477</v>
      </c>
      <c r="D195" s="6" t="s">
        <v>63</v>
      </c>
      <c r="E195" s="6" t="s">
        <v>16</v>
      </c>
      <c r="F195" s="6">
        <v>3</v>
      </c>
      <c r="G195" s="7">
        <v>6100</v>
      </c>
      <c r="H195" s="25">
        <v>39.799999999999997</v>
      </c>
      <c r="I195" s="17">
        <v>400</v>
      </c>
      <c r="J195" s="7">
        <v>140</v>
      </c>
      <c r="K195" s="7">
        <v>400</v>
      </c>
      <c r="L195" s="7">
        <v>7.15</v>
      </c>
      <c r="M195" s="7">
        <f>(International_Education_Costs!$G195+International_Education_Costs!$I195+International_Education_Costs!$J195+International_Education_Costs!$K195)*International_Education_Costs!$L195</f>
        <v>50336</v>
      </c>
      <c r="N195" s="7">
        <f>International_Education_Costs!$G195+International_Education_Costs!$I195+International_Education_Costs!$J195+International_Education_Costs!$K195</f>
        <v>7040</v>
      </c>
    </row>
    <row r="196" spans="1:14" x14ac:dyDescent="0.3">
      <c r="A196" s="4" t="s">
        <v>64</v>
      </c>
      <c r="B196" s="4" t="s">
        <v>65</v>
      </c>
      <c r="C196" s="4" t="s">
        <v>66</v>
      </c>
      <c r="D196" s="4" t="s">
        <v>15</v>
      </c>
      <c r="E196" s="4" t="s">
        <v>16</v>
      </c>
      <c r="F196" s="4">
        <v>2</v>
      </c>
      <c r="G196" s="5">
        <v>7200</v>
      </c>
      <c r="H196" s="24">
        <v>85.1</v>
      </c>
      <c r="I196" s="16">
        <v>950</v>
      </c>
      <c r="J196" s="5">
        <v>90</v>
      </c>
      <c r="K196" s="5">
        <v>800</v>
      </c>
      <c r="L196" s="5">
        <v>1300</v>
      </c>
      <c r="M196" s="5">
        <f>(International_Education_Costs!$G196+International_Education_Costs!$I196+International_Education_Costs!$J196+International_Education_Costs!$K196)*International_Education_Costs!$L196</f>
        <v>11752000</v>
      </c>
      <c r="N196" s="5">
        <f>International_Education_Costs!$G196+International_Education_Costs!$I196+International_Education_Costs!$J196+International_Education_Costs!$K196</f>
        <v>9040</v>
      </c>
    </row>
    <row r="197" spans="1:14" x14ac:dyDescent="0.3">
      <c r="A197" s="6" t="s">
        <v>64</v>
      </c>
      <c r="B197" s="6" t="s">
        <v>65</v>
      </c>
      <c r="C197" s="6" t="s">
        <v>478</v>
      </c>
      <c r="D197" s="6" t="s">
        <v>40</v>
      </c>
      <c r="E197" s="6" t="s">
        <v>16</v>
      </c>
      <c r="F197" s="6">
        <v>2</v>
      </c>
      <c r="G197" s="7">
        <v>7000</v>
      </c>
      <c r="H197" s="25">
        <v>85.1</v>
      </c>
      <c r="I197" s="17">
        <v>920</v>
      </c>
      <c r="J197" s="7">
        <v>90</v>
      </c>
      <c r="K197" s="7">
        <v>800</v>
      </c>
      <c r="L197" s="7">
        <v>1300</v>
      </c>
      <c r="M197" s="7">
        <f>(International_Education_Costs!$G197+International_Education_Costs!$I197+International_Education_Costs!$J197+International_Education_Costs!$K197)*International_Education_Costs!$L197</f>
        <v>11453000</v>
      </c>
      <c r="N197" s="7">
        <f>International_Education_Costs!$G197+International_Education_Costs!$I197+International_Education_Costs!$J197+International_Education_Costs!$K197</f>
        <v>8810</v>
      </c>
    </row>
    <row r="198" spans="1:14" x14ac:dyDescent="0.3">
      <c r="A198" s="4" t="s">
        <v>64</v>
      </c>
      <c r="B198" s="4" t="s">
        <v>65</v>
      </c>
      <c r="C198" s="4" t="s">
        <v>479</v>
      </c>
      <c r="D198" s="4" t="s">
        <v>20</v>
      </c>
      <c r="E198" s="4" t="s">
        <v>16</v>
      </c>
      <c r="F198" s="4">
        <v>2</v>
      </c>
      <c r="G198" s="5">
        <v>6900</v>
      </c>
      <c r="H198" s="24">
        <v>85.1</v>
      </c>
      <c r="I198" s="16">
        <v>900</v>
      </c>
      <c r="J198" s="5">
        <v>90</v>
      </c>
      <c r="K198" s="5">
        <v>800</v>
      </c>
      <c r="L198" s="5">
        <v>1300</v>
      </c>
      <c r="M198" s="5">
        <f>(International_Education_Costs!$G198+International_Education_Costs!$I198+International_Education_Costs!$J198+International_Education_Costs!$K198)*International_Education_Costs!$L198</f>
        <v>11297000</v>
      </c>
      <c r="N198" s="5">
        <f>International_Education_Costs!$G198+International_Education_Costs!$I198+International_Education_Costs!$J198+International_Education_Costs!$K198</f>
        <v>8690</v>
      </c>
    </row>
    <row r="199" spans="1:14" x14ac:dyDescent="0.3">
      <c r="A199" s="6" t="s">
        <v>64</v>
      </c>
      <c r="B199" s="6" t="s">
        <v>65</v>
      </c>
      <c r="C199" s="6" t="s">
        <v>480</v>
      </c>
      <c r="D199" s="6" t="s">
        <v>208</v>
      </c>
      <c r="E199" s="6" t="s">
        <v>16</v>
      </c>
      <c r="F199" s="6">
        <v>2</v>
      </c>
      <c r="G199" s="7">
        <v>6500</v>
      </c>
      <c r="H199" s="25">
        <v>85.1</v>
      </c>
      <c r="I199" s="17">
        <v>850</v>
      </c>
      <c r="J199" s="7">
        <v>90</v>
      </c>
      <c r="K199" s="7">
        <v>800</v>
      </c>
      <c r="L199" s="7">
        <v>1300</v>
      </c>
      <c r="M199" s="7">
        <f>(International_Education_Costs!$G199+International_Education_Costs!$I199+International_Education_Costs!$J199+International_Education_Costs!$K199)*International_Education_Costs!$L199</f>
        <v>10712000</v>
      </c>
      <c r="N199" s="7">
        <f>International_Education_Costs!$G199+International_Education_Costs!$I199+International_Education_Costs!$J199+International_Education_Costs!$K199</f>
        <v>8240</v>
      </c>
    </row>
    <row r="200" spans="1:14" x14ac:dyDescent="0.3">
      <c r="A200" s="4" t="s">
        <v>64</v>
      </c>
      <c r="B200" s="4" t="s">
        <v>65</v>
      </c>
      <c r="C200" s="4" t="s">
        <v>481</v>
      </c>
      <c r="D200" s="4" t="s">
        <v>63</v>
      </c>
      <c r="E200" s="4" t="s">
        <v>16</v>
      </c>
      <c r="F200" s="4">
        <v>2</v>
      </c>
      <c r="G200" s="5">
        <v>6400</v>
      </c>
      <c r="H200" s="24">
        <v>85.1</v>
      </c>
      <c r="I200" s="16">
        <v>840</v>
      </c>
      <c r="J200" s="5">
        <v>90</v>
      </c>
      <c r="K200" s="5">
        <v>800</v>
      </c>
      <c r="L200" s="5">
        <v>1300</v>
      </c>
      <c r="M200" s="5">
        <f>(International_Education_Costs!$G200+International_Education_Costs!$I200+International_Education_Costs!$J200+International_Education_Costs!$K200)*International_Education_Costs!$L200</f>
        <v>10569000</v>
      </c>
      <c r="N200" s="5">
        <f>International_Education_Costs!$G200+International_Education_Costs!$I200+International_Education_Costs!$J200+International_Education_Costs!$K200</f>
        <v>8130</v>
      </c>
    </row>
    <row r="201" spans="1:14" x14ac:dyDescent="0.3">
      <c r="A201" s="6" t="s">
        <v>64</v>
      </c>
      <c r="B201" s="6" t="s">
        <v>166</v>
      </c>
      <c r="C201" s="6" t="s">
        <v>167</v>
      </c>
      <c r="D201" s="6" t="s">
        <v>482</v>
      </c>
      <c r="E201" s="6" t="s">
        <v>16</v>
      </c>
      <c r="F201" s="6">
        <v>2</v>
      </c>
      <c r="G201" s="7">
        <v>6800</v>
      </c>
      <c r="H201" s="25">
        <v>75.400000000000006</v>
      </c>
      <c r="I201" s="17">
        <v>700</v>
      </c>
      <c r="J201" s="7">
        <v>90</v>
      </c>
      <c r="K201" s="7">
        <v>800</v>
      </c>
      <c r="L201" s="7">
        <v>1300</v>
      </c>
      <c r="M201" s="7">
        <f>(International_Education_Costs!$G201+International_Education_Costs!$I201+International_Education_Costs!$J201+International_Education_Costs!$K201)*International_Education_Costs!$L201</f>
        <v>10907000</v>
      </c>
      <c r="N201" s="7">
        <f>International_Education_Costs!$G201+International_Education_Costs!$I201+International_Education_Costs!$J201+International_Education_Costs!$K201</f>
        <v>8390</v>
      </c>
    </row>
    <row r="202" spans="1:14" x14ac:dyDescent="0.3">
      <c r="A202" s="4" t="s">
        <v>64</v>
      </c>
      <c r="B202" s="4" t="s">
        <v>166</v>
      </c>
      <c r="C202" s="4" t="s">
        <v>483</v>
      </c>
      <c r="D202" s="4" t="s">
        <v>216</v>
      </c>
      <c r="E202" s="4" t="s">
        <v>16</v>
      </c>
      <c r="F202" s="4">
        <v>2</v>
      </c>
      <c r="G202" s="5">
        <v>5900</v>
      </c>
      <c r="H202" s="24">
        <v>75.400000000000006</v>
      </c>
      <c r="I202" s="16">
        <v>650</v>
      </c>
      <c r="J202" s="5">
        <v>90</v>
      </c>
      <c r="K202" s="5">
        <v>800</v>
      </c>
      <c r="L202" s="5">
        <v>1300</v>
      </c>
      <c r="M202" s="5">
        <f>(International_Education_Costs!$G202+International_Education_Costs!$I202+International_Education_Costs!$J202+International_Education_Costs!$K202)*International_Education_Costs!$L202</f>
        <v>9672000</v>
      </c>
      <c r="N202" s="5">
        <f>International_Education_Costs!$G202+International_Education_Costs!$I202+International_Education_Costs!$J202+International_Education_Costs!$K202</f>
        <v>7440</v>
      </c>
    </row>
    <row r="203" spans="1:14" x14ac:dyDescent="0.3">
      <c r="A203" s="6" t="s">
        <v>64</v>
      </c>
      <c r="B203" s="6" t="s">
        <v>72</v>
      </c>
      <c r="C203" s="6" t="s">
        <v>73</v>
      </c>
      <c r="D203" s="6" t="s">
        <v>15</v>
      </c>
      <c r="E203" s="6" t="s">
        <v>16</v>
      </c>
      <c r="F203" s="6">
        <v>2</v>
      </c>
      <c r="G203" s="7">
        <v>5800</v>
      </c>
      <c r="H203" s="25">
        <v>73.2</v>
      </c>
      <c r="I203" s="17">
        <v>600</v>
      </c>
      <c r="J203" s="7">
        <v>90</v>
      </c>
      <c r="K203" s="7">
        <v>800</v>
      </c>
      <c r="L203" s="7">
        <v>1300</v>
      </c>
      <c r="M203" s="7">
        <f>(International_Education_Costs!$G203+International_Education_Costs!$I203+International_Education_Costs!$J203+International_Education_Costs!$K203)*International_Education_Costs!$L203</f>
        <v>9477000</v>
      </c>
      <c r="N203" s="7">
        <f>International_Education_Costs!$G203+International_Education_Costs!$I203+International_Education_Costs!$J203+International_Education_Costs!$K203</f>
        <v>7290</v>
      </c>
    </row>
    <row r="204" spans="1:14" x14ac:dyDescent="0.3">
      <c r="A204" s="4" t="s">
        <v>64</v>
      </c>
      <c r="B204" s="4" t="s">
        <v>72</v>
      </c>
      <c r="C204" s="4" t="s">
        <v>484</v>
      </c>
      <c r="D204" s="4" t="s">
        <v>208</v>
      </c>
      <c r="E204" s="4" t="s">
        <v>16</v>
      </c>
      <c r="F204" s="4">
        <v>2</v>
      </c>
      <c r="G204" s="5">
        <v>5600</v>
      </c>
      <c r="H204" s="24">
        <v>73.2</v>
      </c>
      <c r="I204" s="16">
        <v>580</v>
      </c>
      <c r="J204" s="5">
        <v>90</v>
      </c>
      <c r="K204" s="5">
        <v>800</v>
      </c>
      <c r="L204" s="5">
        <v>1300</v>
      </c>
      <c r="M204" s="5">
        <f>(International_Education_Costs!$G204+International_Education_Costs!$I204+International_Education_Costs!$J204+International_Education_Costs!$K204)*International_Education_Costs!$L204</f>
        <v>9191000</v>
      </c>
      <c r="N204" s="5">
        <f>International_Education_Costs!$G204+International_Education_Costs!$I204+International_Education_Costs!$J204+International_Education_Costs!$K204</f>
        <v>7070</v>
      </c>
    </row>
    <row r="205" spans="1:14" x14ac:dyDescent="0.3">
      <c r="A205" s="6" t="s">
        <v>64</v>
      </c>
      <c r="B205" s="6" t="s">
        <v>485</v>
      </c>
      <c r="C205" s="6" t="s">
        <v>486</v>
      </c>
      <c r="D205" s="6" t="s">
        <v>71</v>
      </c>
      <c r="E205" s="6" t="s">
        <v>16</v>
      </c>
      <c r="F205" s="6">
        <v>2</v>
      </c>
      <c r="G205" s="7">
        <v>5500</v>
      </c>
      <c r="H205" s="25">
        <v>71.8</v>
      </c>
      <c r="I205" s="17">
        <v>550</v>
      </c>
      <c r="J205" s="7">
        <v>90</v>
      </c>
      <c r="K205" s="7">
        <v>800</v>
      </c>
      <c r="L205" s="7">
        <v>1300</v>
      </c>
      <c r="M205" s="7">
        <f>(International_Education_Costs!$G205+International_Education_Costs!$I205+International_Education_Costs!$J205+International_Education_Costs!$K205)*International_Education_Costs!$L205</f>
        <v>9022000</v>
      </c>
      <c r="N205" s="7">
        <f>International_Education_Costs!$G205+International_Education_Costs!$I205+International_Education_Costs!$J205+International_Education_Costs!$K205</f>
        <v>6940</v>
      </c>
    </row>
    <row r="206" spans="1:14" x14ac:dyDescent="0.3">
      <c r="A206" s="4" t="s">
        <v>64</v>
      </c>
      <c r="B206" s="4" t="s">
        <v>485</v>
      </c>
      <c r="C206" s="4" t="s">
        <v>487</v>
      </c>
      <c r="D206" s="4" t="s">
        <v>63</v>
      </c>
      <c r="E206" s="4" t="s">
        <v>16</v>
      </c>
      <c r="F206" s="4">
        <v>2</v>
      </c>
      <c r="G206" s="5">
        <v>5400</v>
      </c>
      <c r="H206" s="24">
        <v>71.8</v>
      </c>
      <c r="I206" s="16">
        <v>530</v>
      </c>
      <c r="J206" s="5">
        <v>90</v>
      </c>
      <c r="K206" s="5">
        <v>800</v>
      </c>
      <c r="L206" s="5">
        <v>1300</v>
      </c>
      <c r="M206" s="5">
        <f>(International_Education_Costs!$G206+International_Education_Costs!$I206+International_Education_Costs!$J206+International_Education_Costs!$K206)*International_Education_Costs!$L206</f>
        <v>8866000</v>
      </c>
      <c r="N206" s="5">
        <f>International_Education_Costs!$G206+International_Education_Costs!$I206+International_Education_Costs!$J206+International_Education_Costs!$K206</f>
        <v>6820</v>
      </c>
    </row>
    <row r="207" spans="1:14" x14ac:dyDescent="0.3">
      <c r="A207" s="6" t="s">
        <v>64</v>
      </c>
      <c r="B207" s="6" t="s">
        <v>488</v>
      </c>
      <c r="C207" s="6" t="s">
        <v>489</v>
      </c>
      <c r="D207" s="6" t="s">
        <v>223</v>
      </c>
      <c r="E207" s="6" t="s">
        <v>16</v>
      </c>
      <c r="F207" s="6">
        <v>2</v>
      </c>
      <c r="G207" s="7">
        <v>5300</v>
      </c>
      <c r="H207" s="25">
        <v>70.5</v>
      </c>
      <c r="I207" s="17">
        <v>520</v>
      </c>
      <c r="J207" s="7">
        <v>90</v>
      </c>
      <c r="K207" s="7">
        <v>800</v>
      </c>
      <c r="L207" s="7">
        <v>1300</v>
      </c>
      <c r="M207" s="7">
        <f>(International_Education_Costs!$G207+International_Education_Costs!$I207+International_Education_Costs!$J207+International_Education_Costs!$K207)*International_Education_Costs!$L207</f>
        <v>8723000</v>
      </c>
      <c r="N207" s="7">
        <f>International_Education_Costs!$G207+International_Education_Costs!$I207+International_Education_Costs!$J207+International_Education_Costs!$K207</f>
        <v>6710</v>
      </c>
    </row>
    <row r="208" spans="1:14" x14ac:dyDescent="0.3">
      <c r="A208" s="4" t="s">
        <v>64</v>
      </c>
      <c r="B208" s="4" t="s">
        <v>488</v>
      </c>
      <c r="C208" s="4" t="s">
        <v>490</v>
      </c>
      <c r="D208" s="4" t="s">
        <v>15</v>
      </c>
      <c r="E208" s="4" t="s">
        <v>16</v>
      </c>
      <c r="F208" s="4">
        <v>2</v>
      </c>
      <c r="G208" s="5">
        <v>5200</v>
      </c>
      <c r="H208" s="24">
        <v>70.5</v>
      </c>
      <c r="I208" s="16">
        <v>500</v>
      </c>
      <c r="J208" s="5">
        <v>90</v>
      </c>
      <c r="K208" s="5">
        <v>800</v>
      </c>
      <c r="L208" s="5">
        <v>1300</v>
      </c>
      <c r="M208" s="5">
        <f>(International_Education_Costs!$G208+International_Education_Costs!$I208+International_Education_Costs!$J208+International_Education_Costs!$K208)*International_Education_Costs!$L208</f>
        <v>8567000</v>
      </c>
      <c r="N208" s="5">
        <f>International_Education_Costs!$G208+International_Education_Costs!$I208+International_Education_Costs!$J208+International_Education_Costs!$K208</f>
        <v>6590</v>
      </c>
    </row>
    <row r="209" spans="1:14" x14ac:dyDescent="0.3">
      <c r="A209" s="6" t="s">
        <v>64</v>
      </c>
      <c r="B209" s="6" t="s">
        <v>491</v>
      </c>
      <c r="C209" s="6" t="s">
        <v>492</v>
      </c>
      <c r="D209" s="6" t="s">
        <v>493</v>
      </c>
      <c r="E209" s="6" t="s">
        <v>16</v>
      </c>
      <c r="F209" s="6">
        <v>2</v>
      </c>
      <c r="G209" s="7">
        <v>6100</v>
      </c>
      <c r="H209" s="25">
        <v>72.3</v>
      </c>
      <c r="I209" s="17">
        <v>580</v>
      </c>
      <c r="J209" s="7">
        <v>90</v>
      </c>
      <c r="K209" s="7">
        <v>800</v>
      </c>
      <c r="L209" s="7">
        <v>1300</v>
      </c>
      <c r="M209" s="7">
        <f>(International_Education_Costs!$G209+International_Education_Costs!$I209+International_Education_Costs!$J209+International_Education_Costs!$K209)*International_Education_Costs!$L209</f>
        <v>9841000</v>
      </c>
      <c r="N209" s="7">
        <f>International_Education_Costs!$G209+International_Education_Costs!$I209+International_Education_Costs!$J209+International_Education_Costs!$K209</f>
        <v>7570</v>
      </c>
    </row>
    <row r="210" spans="1:14" x14ac:dyDescent="0.3">
      <c r="A210" s="4" t="s">
        <v>64</v>
      </c>
      <c r="B210" s="4" t="s">
        <v>491</v>
      </c>
      <c r="C210" s="4" t="s">
        <v>494</v>
      </c>
      <c r="D210" s="4" t="s">
        <v>261</v>
      </c>
      <c r="E210" s="4" t="s">
        <v>16</v>
      </c>
      <c r="F210" s="4">
        <v>2</v>
      </c>
      <c r="G210" s="5">
        <v>5100</v>
      </c>
      <c r="H210" s="24">
        <v>72.3</v>
      </c>
      <c r="I210" s="16">
        <v>550</v>
      </c>
      <c r="J210" s="5">
        <v>90</v>
      </c>
      <c r="K210" s="5">
        <v>800</v>
      </c>
      <c r="L210" s="5">
        <v>1300</v>
      </c>
      <c r="M210" s="5">
        <f>(International_Education_Costs!$G210+International_Education_Costs!$I210+International_Education_Costs!$J210+International_Education_Costs!$K210)*International_Education_Costs!$L210</f>
        <v>8502000</v>
      </c>
      <c r="N210" s="5">
        <f>International_Education_Costs!$G210+International_Education_Costs!$I210+International_Education_Costs!$J210+International_Education_Costs!$K210</f>
        <v>6540</v>
      </c>
    </row>
    <row r="211" spans="1:14" x14ac:dyDescent="0.3">
      <c r="A211" s="6" t="s">
        <v>64</v>
      </c>
      <c r="B211" s="6" t="s">
        <v>495</v>
      </c>
      <c r="C211" s="6" t="s">
        <v>496</v>
      </c>
      <c r="D211" s="6" t="s">
        <v>63</v>
      </c>
      <c r="E211" s="6" t="s">
        <v>16</v>
      </c>
      <c r="F211" s="6">
        <v>2</v>
      </c>
      <c r="G211" s="7">
        <v>6300</v>
      </c>
      <c r="H211" s="25">
        <v>71.2</v>
      </c>
      <c r="I211" s="17">
        <v>570</v>
      </c>
      <c r="J211" s="7">
        <v>90</v>
      </c>
      <c r="K211" s="7">
        <v>800</v>
      </c>
      <c r="L211" s="7">
        <v>1300</v>
      </c>
      <c r="M211" s="7">
        <f>(International_Education_Costs!$G211+International_Education_Costs!$I211+International_Education_Costs!$J211+International_Education_Costs!$K211)*International_Education_Costs!$L211</f>
        <v>10088000</v>
      </c>
      <c r="N211" s="7">
        <f>International_Education_Costs!$G211+International_Education_Costs!$I211+International_Education_Costs!$J211+International_Education_Costs!$K211</f>
        <v>7760</v>
      </c>
    </row>
    <row r="212" spans="1:14" x14ac:dyDescent="0.3">
      <c r="A212" s="4" t="s">
        <v>64</v>
      </c>
      <c r="B212" s="4" t="s">
        <v>497</v>
      </c>
      <c r="C212" s="4" t="s">
        <v>498</v>
      </c>
      <c r="D212" s="4" t="s">
        <v>20</v>
      </c>
      <c r="E212" s="4" t="s">
        <v>16</v>
      </c>
      <c r="F212" s="4">
        <v>2</v>
      </c>
      <c r="G212" s="5">
        <v>5000</v>
      </c>
      <c r="H212" s="24">
        <v>76.400000000000006</v>
      </c>
      <c r="I212" s="16">
        <v>600</v>
      </c>
      <c r="J212" s="5">
        <v>90</v>
      </c>
      <c r="K212" s="5">
        <v>800</v>
      </c>
      <c r="L212" s="5">
        <v>1300</v>
      </c>
      <c r="M212" s="5">
        <f>(International_Education_Costs!$G212+International_Education_Costs!$I212+International_Education_Costs!$J212+International_Education_Costs!$K212)*International_Education_Costs!$L212</f>
        <v>8437000</v>
      </c>
      <c r="N212" s="5">
        <f>International_Education_Costs!$G212+International_Education_Costs!$I212+International_Education_Costs!$J212+International_Education_Costs!$K212</f>
        <v>6490</v>
      </c>
    </row>
    <row r="213" spans="1:14" x14ac:dyDescent="0.3">
      <c r="A213" s="6" t="s">
        <v>64</v>
      </c>
      <c r="B213" s="6" t="s">
        <v>499</v>
      </c>
      <c r="C213" s="6" t="s">
        <v>500</v>
      </c>
      <c r="D213" s="6" t="s">
        <v>501</v>
      </c>
      <c r="E213" s="6" t="s">
        <v>16</v>
      </c>
      <c r="F213" s="6">
        <v>2</v>
      </c>
      <c r="G213" s="7">
        <v>5900</v>
      </c>
      <c r="H213" s="25">
        <v>77.8</v>
      </c>
      <c r="I213" s="17">
        <v>650</v>
      </c>
      <c r="J213" s="7">
        <v>90</v>
      </c>
      <c r="K213" s="7">
        <v>800</v>
      </c>
      <c r="L213" s="7">
        <v>1300</v>
      </c>
      <c r="M213" s="7">
        <f>(International_Education_Costs!$G213+International_Education_Costs!$I213+International_Education_Costs!$J213+International_Education_Costs!$K213)*International_Education_Costs!$L213</f>
        <v>9672000</v>
      </c>
      <c r="N213" s="7">
        <f>International_Education_Costs!$G213+International_Education_Costs!$I213+International_Education_Costs!$J213+International_Education_Costs!$K213</f>
        <v>7440</v>
      </c>
    </row>
    <row r="214" spans="1:14" x14ac:dyDescent="0.3">
      <c r="A214" s="4" t="s">
        <v>64</v>
      </c>
      <c r="B214" s="4" t="s">
        <v>166</v>
      </c>
      <c r="C214" s="4" t="s">
        <v>502</v>
      </c>
      <c r="D214" s="4" t="s">
        <v>503</v>
      </c>
      <c r="E214" s="4" t="s">
        <v>16</v>
      </c>
      <c r="F214" s="4">
        <v>2</v>
      </c>
      <c r="G214" s="5">
        <v>4900</v>
      </c>
      <c r="H214" s="24">
        <v>75.400000000000006</v>
      </c>
      <c r="I214" s="16">
        <v>540</v>
      </c>
      <c r="J214" s="5">
        <v>90</v>
      </c>
      <c r="K214" s="5">
        <v>800</v>
      </c>
      <c r="L214" s="5">
        <v>1300</v>
      </c>
      <c r="M214" s="5">
        <f>(International_Education_Costs!$G214+International_Education_Costs!$I214+International_Education_Costs!$J214+International_Education_Costs!$K214)*International_Education_Costs!$L214</f>
        <v>8229000</v>
      </c>
      <c r="N214" s="5">
        <f>International_Education_Costs!$G214+International_Education_Costs!$I214+International_Education_Costs!$J214+International_Education_Costs!$K214</f>
        <v>6330</v>
      </c>
    </row>
    <row r="215" spans="1:14" x14ac:dyDescent="0.3">
      <c r="A215" s="6" t="s">
        <v>64</v>
      </c>
      <c r="B215" s="6" t="s">
        <v>504</v>
      </c>
      <c r="C215" s="6" t="s">
        <v>505</v>
      </c>
      <c r="D215" s="6" t="s">
        <v>506</v>
      </c>
      <c r="E215" s="6" t="s">
        <v>16</v>
      </c>
      <c r="F215" s="6">
        <v>2</v>
      </c>
      <c r="G215" s="7">
        <v>4800</v>
      </c>
      <c r="H215" s="25">
        <v>70.099999999999994</v>
      </c>
      <c r="I215" s="17">
        <v>520</v>
      </c>
      <c r="J215" s="7">
        <v>90</v>
      </c>
      <c r="K215" s="7">
        <v>800</v>
      </c>
      <c r="L215" s="7">
        <v>1300</v>
      </c>
      <c r="M215" s="7">
        <f>(International_Education_Costs!$G215+International_Education_Costs!$I215+International_Education_Costs!$J215+International_Education_Costs!$K215)*International_Education_Costs!$L215</f>
        <v>8073000</v>
      </c>
      <c r="N215" s="7">
        <f>International_Education_Costs!$G215+International_Education_Costs!$I215+International_Education_Costs!$J215+International_Education_Costs!$K215</f>
        <v>6210</v>
      </c>
    </row>
    <row r="216" spans="1:14" x14ac:dyDescent="0.3">
      <c r="A216" s="4" t="s">
        <v>12</v>
      </c>
      <c r="B216" s="4" t="s">
        <v>120</v>
      </c>
      <c r="C216" s="4" t="s">
        <v>121</v>
      </c>
      <c r="D216" s="4" t="s">
        <v>15</v>
      </c>
      <c r="E216" s="4" t="s">
        <v>75</v>
      </c>
      <c r="F216" s="4">
        <v>4</v>
      </c>
      <c r="G216" s="5">
        <v>57000</v>
      </c>
      <c r="H216" s="24">
        <v>95.2</v>
      </c>
      <c r="I216" s="16">
        <v>2400</v>
      </c>
      <c r="J216" s="5">
        <v>160</v>
      </c>
      <c r="K216" s="5">
        <v>1500</v>
      </c>
      <c r="L216" s="5">
        <v>1</v>
      </c>
      <c r="M216" s="5">
        <f>(International_Education_Costs!$G216+International_Education_Costs!$I216+International_Education_Costs!$J216+International_Education_Costs!$K216)*International_Education_Costs!$L216</f>
        <v>61060</v>
      </c>
      <c r="N216" s="5">
        <f>International_Education_Costs!$G216+International_Education_Costs!$I216+International_Education_Costs!$J216+International_Education_Costs!$K216</f>
        <v>61060</v>
      </c>
    </row>
    <row r="217" spans="1:14" x14ac:dyDescent="0.3">
      <c r="A217" s="6" t="s">
        <v>12</v>
      </c>
      <c r="B217" s="6" t="s">
        <v>13</v>
      </c>
      <c r="C217" s="6" t="s">
        <v>124</v>
      </c>
      <c r="D217" s="6" t="s">
        <v>15</v>
      </c>
      <c r="E217" s="6" t="s">
        <v>75</v>
      </c>
      <c r="F217" s="6">
        <v>4</v>
      </c>
      <c r="G217" s="7">
        <v>55800</v>
      </c>
      <c r="H217" s="25">
        <v>83.5</v>
      </c>
      <c r="I217" s="17">
        <v>2300</v>
      </c>
      <c r="J217" s="7">
        <v>160</v>
      </c>
      <c r="K217" s="7">
        <v>1500</v>
      </c>
      <c r="L217" s="7">
        <v>1</v>
      </c>
      <c r="M217" s="7">
        <f>(International_Education_Costs!$G217+International_Education_Costs!$I217+International_Education_Costs!$J217+International_Education_Costs!$K217)*International_Education_Costs!$L217</f>
        <v>59760</v>
      </c>
      <c r="N217" s="7">
        <f>International_Education_Costs!$G217+International_Education_Costs!$I217+International_Education_Costs!$J217+International_Education_Costs!$K217</f>
        <v>59760</v>
      </c>
    </row>
    <row r="218" spans="1:14" x14ac:dyDescent="0.3">
      <c r="A218" s="4" t="s">
        <v>12</v>
      </c>
      <c r="B218" s="4" t="s">
        <v>507</v>
      </c>
      <c r="C218" s="4" t="s">
        <v>508</v>
      </c>
      <c r="D218" s="4" t="s">
        <v>15</v>
      </c>
      <c r="E218" s="4" t="s">
        <v>75</v>
      </c>
      <c r="F218" s="4">
        <v>4</v>
      </c>
      <c r="G218" s="5">
        <v>54500</v>
      </c>
      <c r="H218" s="24">
        <v>79.8</v>
      </c>
      <c r="I218" s="16">
        <v>2100</v>
      </c>
      <c r="J218" s="5">
        <v>160</v>
      </c>
      <c r="K218" s="5">
        <v>1500</v>
      </c>
      <c r="L218" s="5">
        <v>1</v>
      </c>
      <c r="M218" s="5">
        <f>(International_Education_Costs!$G218+International_Education_Costs!$I218+International_Education_Costs!$J218+International_Education_Costs!$K218)*International_Education_Costs!$L218</f>
        <v>58260</v>
      </c>
      <c r="N218" s="5">
        <f>International_Education_Costs!$G218+International_Education_Costs!$I218+International_Education_Costs!$J218+International_Education_Costs!$K218</f>
        <v>58260</v>
      </c>
    </row>
    <row r="219" spans="1:14" x14ac:dyDescent="0.3">
      <c r="A219" s="6" t="s">
        <v>12</v>
      </c>
      <c r="B219" s="6" t="s">
        <v>509</v>
      </c>
      <c r="C219" s="6" t="s">
        <v>510</v>
      </c>
      <c r="D219" s="6" t="s">
        <v>15</v>
      </c>
      <c r="E219" s="6" t="s">
        <v>75</v>
      </c>
      <c r="F219" s="6">
        <v>4</v>
      </c>
      <c r="G219" s="7">
        <v>54000</v>
      </c>
      <c r="H219" s="25">
        <v>81.2</v>
      </c>
      <c r="I219" s="17">
        <v>2000</v>
      </c>
      <c r="J219" s="7">
        <v>160</v>
      </c>
      <c r="K219" s="7">
        <v>1500</v>
      </c>
      <c r="L219" s="7">
        <v>1</v>
      </c>
      <c r="M219" s="7">
        <f>(International_Education_Costs!$G219+International_Education_Costs!$I219+International_Education_Costs!$J219+International_Education_Costs!$K219)*International_Education_Costs!$L219</f>
        <v>57660</v>
      </c>
      <c r="N219" s="7">
        <f>International_Education_Costs!$G219+International_Education_Costs!$I219+International_Education_Costs!$J219+International_Education_Costs!$K219</f>
        <v>57660</v>
      </c>
    </row>
    <row r="220" spans="1:14" x14ac:dyDescent="0.3">
      <c r="A220" s="4" t="s">
        <v>12</v>
      </c>
      <c r="B220" s="4" t="s">
        <v>270</v>
      </c>
      <c r="C220" s="4" t="s">
        <v>271</v>
      </c>
      <c r="D220" s="4" t="s">
        <v>15</v>
      </c>
      <c r="E220" s="4" t="s">
        <v>75</v>
      </c>
      <c r="F220" s="4">
        <v>4</v>
      </c>
      <c r="G220" s="5">
        <v>53500</v>
      </c>
      <c r="H220" s="24">
        <v>82.4</v>
      </c>
      <c r="I220" s="16">
        <v>1900</v>
      </c>
      <c r="J220" s="5">
        <v>160</v>
      </c>
      <c r="K220" s="5">
        <v>1500</v>
      </c>
      <c r="L220" s="5">
        <v>1</v>
      </c>
      <c r="M220" s="5">
        <f>(International_Education_Costs!$G220+International_Education_Costs!$I220+International_Education_Costs!$J220+International_Education_Costs!$K220)*International_Education_Costs!$L220</f>
        <v>57060</v>
      </c>
      <c r="N220" s="5">
        <f>International_Education_Costs!$G220+International_Education_Costs!$I220+International_Education_Costs!$J220+International_Education_Costs!$K220</f>
        <v>57060</v>
      </c>
    </row>
    <row r="221" spans="1:14" x14ac:dyDescent="0.3">
      <c r="A221" s="6" t="s">
        <v>12</v>
      </c>
      <c r="B221" s="6" t="s">
        <v>511</v>
      </c>
      <c r="C221" s="6" t="s">
        <v>512</v>
      </c>
      <c r="D221" s="6" t="s">
        <v>15</v>
      </c>
      <c r="E221" s="6" t="s">
        <v>75</v>
      </c>
      <c r="F221" s="6">
        <v>4</v>
      </c>
      <c r="G221" s="7">
        <v>43000</v>
      </c>
      <c r="H221" s="25">
        <v>88.7</v>
      </c>
      <c r="I221" s="17">
        <v>2200</v>
      </c>
      <c r="J221" s="7">
        <v>160</v>
      </c>
      <c r="K221" s="7">
        <v>1500</v>
      </c>
      <c r="L221" s="7">
        <v>1</v>
      </c>
      <c r="M221" s="7">
        <f>(International_Education_Costs!$G221+International_Education_Costs!$I221+International_Education_Costs!$J221+International_Education_Costs!$K221)*International_Education_Costs!$L221</f>
        <v>46860</v>
      </c>
      <c r="N221" s="7">
        <f>International_Education_Costs!$G221+International_Education_Costs!$I221+International_Education_Costs!$J221+International_Education_Costs!$K221</f>
        <v>46860</v>
      </c>
    </row>
    <row r="222" spans="1:14" x14ac:dyDescent="0.3">
      <c r="A222" s="4" t="s">
        <v>12</v>
      </c>
      <c r="B222" s="4" t="s">
        <v>171</v>
      </c>
      <c r="C222" s="4" t="s">
        <v>172</v>
      </c>
      <c r="D222" s="4" t="s">
        <v>15</v>
      </c>
      <c r="E222" s="4" t="s">
        <v>75</v>
      </c>
      <c r="F222" s="4">
        <v>4</v>
      </c>
      <c r="G222" s="5">
        <v>43500</v>
      </c>
      <c r="H222" s="24">
        <v>91.5</v>
      </c>
      <c r="I222" s="16">
        <v>2300</v>
      </c>
      <c r="J222" s="5">
        <v>160</v>
      </c>
      <c r="K222" s="5">
        <v>1500</v>
      </c>
      <c r="L222" s="5">
        <v>1</v>
      </c>
      <c r="M222" s="5">
        <f>(International_Education_Costs!$G222+International_Education_Costs!$I222+International_Education_Costs!$J222+International_Education_Costs!$K222)*International_Education_Costs!$L222</f>
        <v>47460</v>
      </c>
      <c r="N222" s="5">
        <f>International_Education_Costs!$G222+International_Education_Costs!$I222+International_Education_Costs!$J222+International_Education_Costs!$K222</f>
        <v>47460</v>
      </c>
    </row>
    <row r="223" spans="1:14" x14ac:dyDescent="0.3">
      <c r="A223" s="6" t="s">
        <v>12</v>
      </c>
      <c r="B223" s="6" t="s">
        <v>88</v>
      </c>
      <c r="C223" s="6" t="s">
        <v>89</v>
      </c>
      <c r="D223" s="6" t="s">
        <v>15</v>
      </c>
      <c r="E223" s="6" t="s">
        <v>75</v>
      </c>
      <c r="F223" s="6">
        <v>4</v>
      </c>
      <c r="G223" s="7">
        <v>52000</v>
      </c>
      <c r="H223" s="25">
        <v>75.400000000000006</v>
      </c>
      <c r="I223" s="17">
        <v>1700</v>
      </c>
      <c r="J223" s="7">
        <v>160</v>
      </c>
      <c r="K223" s="7">
        <v>1500</v>
      </c>
      <c r="L223" s="7">
        <v>1</v>
      </c>
      <c r="M223" s="7">
        <f>(International_Education_Costs!$G223+International_Education_Costs!$I223+International_Education_Costs!$J223+International_Education_Costs!$K223)*International_Education_Costs!$L223</f>
        <v>55360</v>
      </c>
      <c r="N223" s="7">
        <f>International_Education_Costs!$G223+International_Education_Costs!$I223+International_Education_Costs!$J223+International_Education_Costs!$K223</f>
        <v>55360</v>
      </c>
    </row>
    <row r="224" spans="1:14" x14ac:dyDescent="0.3">
      <c r="A224" s="4" t="s">
        <v>12</v>
      </c>
      <c r="B224" s="4" t="s">
        <v>94</v>
      </c>
      <c r="C224" s="4" t="s">
        <v>513</v>
      </c>
      <c r="D224" s="4" t="s">
        <v>15</v>
      </c>
      <c r="E224" s="4" t="s">
        <v>75</v>
      </c>
      <c r="F224" s="4">
        <v>4</v>
      </c>
      <c r="G224" s="5">
        <v>40500</v>
      </c>
      <c r="H224" s="24">
        <v>72.8</v>
      </c>
      <c r="I224" s="16">
        <v>1800</v>
      </c>
      <c r="J224" s="5">
        <v>160</v>
      </c>
      <c r="K224" s="5">
        <v>1500</v>
      </c>
      <c r="L224" s="5">
        <v>1</v>
      </c>
      <c r="M224" s="5">
        <f>(International_Education_Costs!$G224+International_Education_Costs!$I224+International_Education_Costs!$J224+International_Education_Costs!$K224)*International_Education_Costs!$L224</f>
        <v>43960</v>
      </c>
      <c r="N224" s="5">
        <f>International_Education_Costs!$G224+International_Education_Costs!$I224+International_Education_Costs!$J224+International_Education_Costs!$K224</f>
        <v>43960</v>
      </c>
    </row>
    <row r="225" spans="1:14" x14ac:dyDescent="0.3">
      <c r="A225" s="6" t="s">
        <v>12</v>
      </c>
      <c r="B225" s="6" t="s">
        <v>150</v>
      </c>
      <c r="C225" s="6" t="s">
        <v>151</v>
      </c>
      <c r="D225" s="6" t="s">
        <v>15</v>
      </c>
      <c r="E225" s="6" t="s">
        <v>75</v>
      </c>
      <c r="F225" s="6">
        <v>4</v>
      </c>
      <c r="G225" s="7">
        <v>39800</v>
      </c>
      <c r="H225" s="25">
        <v>85.6</v>
      </c>
      <c r="I225" s="17">
        <v>2000</v>
      </c>
      <c r="J225" s="7">
        <v>160</v>
      </c>
      <c r="K225" s="7">
        <v>1500</v>
      </c>
      <c r="L225" s="7">
        <v>1</v>
      </c>
      <c r="M225" s="7">
        <f>(International_Education_Costs!$G225+International_Education_Costs!$I225+International_Education_Costs!$J225+International_Education_Costs!$K225)*International_Education_Costs!$L225</f>
        <v>43460</v>
      </c>
      <c r="N225" s="7">
        <f>International_Education_Costs!$G225+International_Education_Costs!$I225+International_Education_Costs!$J225+International_Education_Costs!$K225</f>
        <v>43460</v>
      </c>
    </row>
    <row r="226" spans="1:14" x14ac:dyDescent="0.3">
      <c r="A226" s="4" t="s">
        <v>12</v>
      </c>
      <c r="B226" s="4" t="s">
        <v>280</v>
      </c>
      <c r="C226" s="4" t="s">
        <v>514</v>
      </c>
      <c r="D226" s="4" t="s">
        <v>15</v>
      </c>
      <c r="E226" s="4" t="s">
        <v>75</v>
      </c>
      <c r="F226" s="4">
        <v>4</v>
      </c>
      <c r="G226" s="5">
        <v>37500</v>
      </c>
      <c r="H226" s="24">
        <v>71.2</v>
      </c>
      <c r="I226" s="16">
        <v>1600</v>
      </c>
      <c r="J226" s="5">
        <v>160</v>
      </c>
      <c r="K226" s="5">
        <v>1500</v>
      </c>
      <c r="L226" s="5">
        <v>1</v>
      </c>
      <c r="M226" s="5">
        <f>(International_Education_Costs!$G226+International_Education_Costs!$I226+International_Education_Costs!$J226+International_Education_Costs!$K226)*International_Education_Costs!$L226</f>
        <v>40760</v>
      </c>
      <c r="N226" s="5">
        <f>International_Education_Costs!$G226+International_Education_Costs!$I226+International_Education_Costs!$J226+International_Education_Costs!$K226</f>
        <v>40760</v>
      </c>
    </row>
    <row r="227" spans="1:14" x14ac:dyDescent="0.3">
      <c r="A227" s="6" t="s">
        <v>12</v>
      </c>
      <c r="B227" s="6" t="s">
        <v>515</v>
      </c>
      <c r="C227" s="6" t="s">
        <v>516</v>
      </c>
      <c r="D227" s="6" t="s">
        <v>15</v>
      </c>
      <c r="E227" s="6" t="s">
        <v>75</v>
      </c>
      <c r="F227" s="6">
        <v>4</v>
      </c>
      <c r="G227" s="7">
        <v>36800</v>
      </c>
      <c r="H227" s="25">
        <v>70.5</v>
      </c>
      <c r="I227" s="17">
        <v>1500</v>
      </c>
      <c r="J227" s="7">
        <v>160</v>
      </c>
      <c r="K227" s="7">
        <v>1500</v>
      </c>
      <c r="L227" s="7">
        <v>1</v>
      </c>
      <c r="M227" s="7">
        <f>(International_Education_Costs!$G227+International_Education_Costs!$I227+International_Education_Costs!$J227+International_Education_Costs!$K227)*International_Education_Costs!$L227</f>
        <v>39960</v>
      </c>
      <c r="N227" s="7">
        <f>International_Education_Costs!$G227+International_Education_Costs!$I227+International_Education_Costs!$J227+International_Education_Costs!$K227</f>
        <v>39960</v>
      </c>
    </row>
    <row r="228" spans="1:14" x14ac:dyDescent="0.3">
      <c r="A228" s="4" t="s">
        <v>12</v>
      </c>
      <c r="B228" s="4" t="s">
        <v>91</v>
      </c>
      <c r="C228" s="4" t="s">
        <v>92</v>
      </c>
      <c r="D228" s="4" t="s">
        <v>15</v>
      </c>
      <c r="E228" s="4" t="s">
        <v>75</v>
      </c>
      <c r="F228" s="4">
        <v>4</v>
      </c>
      <c r="G228" s="5">
        <v>33500</v>
      </c>
      <c r="H228" s="24">
        <v>76.8</v>
      </c>
      <c r="I228" s="16">
        <v>1700</v>
      </c>
      <c r="J228" s="5">
        <v>160</v>
      </c>
      <c r="K228" s="5">
        <v>1500</v>
      </c>
      <c r="L228" s="5">
        <v>1</v>
      </c>
      <c r="M228" s="5">
        <f>(International_Education_Costs!$G228+International_Education_Costs!$I228+International_Education_Costs!$J228+International_Education_Costs!$K228)*International_Education_Costs!$L228</f>
        <v>36860</v>
      </c>
      <c r="N228" s="5">
        <f>International_Education_Costs!$G228+International_Education_Costs!$I228+International_Education_Costs!$J228+International_Education_Costs!$K228</f>
        <v>36860</v>
      </c>
    </row>
    <row r="229" spans="1:14" x14ac:dyDescent="0.3">
      <c r="A229" s="6" t="s">
        <v>12</v>
      </c>
      <c r="B229" s="6" t="s">
        <v>517</v>
      </c>
      <c r="C229" s="6" t="s">
        <v>518</v>
      </c>
      <c r="D229" s="6" t="s">
        <v>15</v>
      </c>
      <c r="E229" s="6" t="s">
        <v>75</v>
      </c>
      <c r="F229" s="6">
        <v>4</v>
      </c>
      <c r="G229" s="7">
        <v>32800</v>
      </c>
      <c r="H229" s="25">
        <v>71.400000000000006</v>
      </c>
      <c r="I229" s="17">
        <v>1400</v>
      </c>
      <c r="J229" s="7">
        <v>160</v>
      </c>
      <c r="K229" s="7">
        <v>1500</v>
      </c>
      <c r="L229" s="7">
        <v>1</v>
      </c>
      <c r="M229" s="7">
        <f>(International_Education_Costs!$G229+International_Education_Costs!$I229+International_Education_Costs!$J229+International_Education_Costs!$K229)*International_Education_Costs!$L229</f>
        <v>35860</v>
      </c>
      <c r="N229" s="7">
        <f>International_Education_Costs!$G229+International_Education_Costs!$I229+International_Education_Costs!$J229+International_Education_Costs!$K229</f>
        <v>35860</v>
      </c>
    </row>
    <row r="230" spans="1:14" x14ac:dyDescent="0.3">
      <c r="A230" s="4" t="s">
        <v>12</v>
      </c>
      <c r="B230" s="4" t="s">
        <v>519</v>
      </c>
      <c r="C230" s="4" t="s">
        <v>520</v>
      </c>
      <c r="D230" s="4" t="s">
        <v>15</v>
      </c>
      <c r="E230" s="4" t="s">
        <v>75</v>
      </c>
      <c r="F230" s="4">
        <v>4</v>
      </c>
      <c r="G230" s="5">
        <v>31500</v>
      </c>
      <c r="H230" s="24">
        <v>68.900000000000006</v>
      </c>
      <c r="I230" s="16">
        <v>1300</v>
      </c>
      <c r="J230" s="5">
        <v>160</v>
      </c>
      <c r="K230" s="5">
        <v>1500</v>
      </c>
      <c r="L230" s="5">
        <v>1</v>
      </c>
      <c r="M230" s="5">
        <f>(International_Education_Costs!$G230+International_Education_Costs!$I230+International_Education_Costs!$J230+International_Education_Costs!$K230)*International_Education_Costs!$L230</f>
        <v>34460</v>
      </c>
      <c r="N230" s="5">
        <f>International_Education_Costs!$G230+International_Education_Costs!$I230+International_Education_Costs!$J230+International_Education_Costs!$K230</f>
        <v>34460</v>
      </c>
    </row>
    <row r="231" spans="1:14" x14ac:dyDescent="0.3">
      <c r="A231" s="6" t="s">
        <v>12</v>
      </c>
      <c r="B231" s="6" t="s">
        <v>521</v>
      </c>
      <c r="C231" s="6" t="s">
        <v>522</v>
      </c>
      <c r="D231" s="6" t="s">
        <v>15</v>
      </c>
      <c r="E231" s="6" t="s">
        <v>75</v>
      </c>
      <c r="F231" s="6">
        <v>4</v>
      </c>
      <c r="G231" s="7">
        <v>28500</v>
      </c>
      <c r="H231" s="25">
        <v>70.2</v>
      </c>
      <c r="I231" s="17">
        <v>1400</v>
      </c>
      <c r="J231" s="7">
        <v>160</v>
      </c>
      <c r="K231" s="7">
        <v>1500</v>
      </c>
      <c r="L231" s="7">
        <v>1</v>
      </c>
      <c r="M231" s="7">
        <f>(International_Education_Costs!$G231+International_Education_Costs!$I231+International_Education_Costs!$J231+International_Education_Costs!$K231)*International_Education_Costs!$L231</f>
        <v>31560</v>
      </c>
      <c r="N231" s="7">
        <f>International_Education_Costs!$G231+International_Education_Costs!$I231+International_Education_Costs!$J231+International_Education_Costs!$K231</f>
        <v>31560</v>
      </c>
    </row>
    <row r="232" spans="1:14" x14ac:dyDescent="0.3">
      <c r="A232" s="4" t="s">
        <v>12</v>
      </c>
      <c r="B232" s="4" t="s">
        <v>282</v>
      </c>
      <c r="C232" s="4" t="s">
        <v>283</v>
      </c>
      <c r="D232" s="4" t="s">
        <v>15</v>
      </c>
      <c r="E232" s="4" t="s">
        <v>75</v>
      </c>
      <c r="F232" s="4">
        <v>4</v>
      </c>
      <c r="G232" s="5">
        <v>28000</v>
      </c>
      <c r="H232" s="24">
        <v>72.5</v>
      </c>
      <c r="I232" s="16">
        <v>1500</v>
      </c>
      <c r="J232" s="5">
        <v>160</v>
      </c>
      <c r="K232" s="5">
        <v>1500</v>
      </c>
      <c r="L232" s="5">
        <v>1</v>
      </c>
      <c r="M232" s="5">
        <f>(International_Education_Costs!$G232+International_Education_Costs!$I232+International_Education_Costs!$J232+International_Education_Costs!$K232)*International_Education_Costs!$L232</f>
        <v>31160</v>
      </c>
      <c r="N232" s="5">
        <f>International_Education_Costs!$G232+International_Education_Costs!$I232+International_Education_Costs!$J232+International_Education_Costs!$K232</f>
        <v>31160</v>
      </c>
    </row>
    <row r="233" spans="1:14" x14ac:dyDescent="0.3">
      <c r="A233" s="6" t="s">
        <v>12</v>
      </c>
      <c r="B233" s="6" t="s">
        <v>523</v>
      </c>
      <c r="C233" s="6" t="s">
        <v>524</v>
      </c>
      <c r="D233" s="6" t="s">
        <v>15</v>
      </c>
      <c r="E233" s="6" t="s">
        <v>75</v>
      </c>
      <c r="F233" s="6">
        <v>4</v>
      </c>
      <c r="G233" s="7">
        <v>27500</v>
      </c>
      <c r="H233" s="25">
        <v>71.8</v>
      </c>
      <c r="I233" s="17">
        <v>1400</v>
      </c>
      <c r="J233" s="7">
        <v>160</v>
      </c>
      <c r="K233" s="7">
        <v>1500</v>
      </c>
      <c r="L233" s="7">
        <v>1</v>
      </c>
      <c r="M233" s="7">
        <f>(International_Education_Costs!$G233+International_Education_Costs!$I233+International_Education_Costs!$J233+International_Education_Costs!$K233)*International_Education_Costs!$L233</f>
        <v>30560</v>
      </c>
      <c r="N233" s="7">
        <f>International_Education_Costs!$G233+International_Education_Costs!$I233+International_Education_Costs!$J233+International_Education_Costs!$K233</f>
        <v>30560</v>
      </c>
    </row>
    <row r="234" spans="1:14" x14ac:dyDescent="0.3">
      <c r="A234" s="4" t="s">
        <v>12</v>
      </c>
      <c r="B234" s="4" t="s">
        <v>525</v>
      </c>
      <c r="C234" s="4" t="s">
        <v>526</v>
      </c>
      <c r="D234" s="4" t="s">
        <v>15</v>
      </c>
      <c r="E234" s="4" t="s">
        <v>75</v>
      </c>
      <c r="F234" s="4">
        <v>4</v>
      </c>
      <c r="G234" s="5">
        <v>27000</v>
      </c>
      <c r="H234" s="24">
        <v>69.5</v>
      </c>
      <c r="I234" s="16">
        <v>1300</v>
      </c>
      <c r="J234" s="5">
        <v>160</v>
      </c>
      <c r="K234" s="5">
        <v>1500</v>
      </c>
      <c r="L234" s="5">
        <v>1</v>
      </c>
      <c r="M234" s="5">
        <f>(International_Education_Costs!$G234+International_Education_Costs!$I234+International_Education_Costs!$J234+International_Education_Costs!$K234)*International_Education_Costs!$L234</f>
        <v>29960</v>
      </c>
      <c r="N234" s="5">
        <f>International_Education_Costs!$G234+International_Education_Costs!$I234+International_Education_Costs!$J234+International_Education_Costs!$K234</f>
        <v>29960</v>
      </c>
    </row>
    <row r="235" spans="1:14" x14ac:dyDescent="0.3">
      <c r="A235" s="6" t="s">
        <v>12</v>
      </c>
      <c r="B235" s="6" t="s">
        <v>527</v>
      </c>
      <c r="C235" s="6" t="s">
        <v>528</v>
      </c>
      <c r="D235" s="6" t="s">
        <v>15</v>
      </c>
      <c r="E235" s="6" t="s">
        <v>75</v>
      </c>
      <c r="F235" s="6">
        <v>4</v>
      </c>
      <c r="G235" s="7">
        <v>26500</v>
      </c>
      <c r="H235" s="25">
        <v>70.099999999999994</v>
      </c>
      <c r="I235" s="17">
        <v>1300</v>
      </c>
      <c r="J235" s="7">
        <v>160</v>
      </c>
      <c r="K235" s="7">
        <v>1500</v>
      </c>
      <c r="L235" s="7">
        <v>1</v>
      </c>
      <c r="M235" s="7">
        <f>(International_Education_Costs!$G235+International_Education_Costs!$I235+International_Education_Costs!$J235+International_Education_Costs!$K235)*International_Education_Costs!$L235</f>
        <v>29460</v>
      </c>
      <c r="N235" s="7">
        <f>International_Education_Costs!$G235+International_Education_Costs!$I235+International_Education_Costs!$J235+International_Education_Costs!$K235</f>
        <v>29460</v>
      </c>
    </row>
    <row r="236" spans="1:14" x14ac:dyDescent="0.3">
      <c r="A236" s="4" t="s">
        <v>17</v>
      </c>
      <c r="B236" s="4" t="s">
        <v>13</v>
      </c>
      <c r="C236" s="4" t="s">
        <v>128</v>
      </c>
      <c r="D236" s="4" t="s">
        <v>15</v>
      </c>
      <c r="E236" s="4" t="s">
        <v>75</v>
      </c>
      <c r="F236" s="4">
        <v>3</v>
      </c>
      <c r="G236" s="5">
        <v>38500</v>
      </c>
      <c r="H236" s="24">
        <v>78.5</v>
      </c>
      <c r="I236" s="16">
        <v>1800</v>
      </c>
      <c r="J236" s="5">
        <v>490</v>
      </c>
      <c r="K236" s="5">
        <v>800</v>
      </c>
      <c r="L236" s="5">
        <v>0.79</v>
      </c>
      <c r="M236" s="5">
        <f>(International_Education_Costs!$G236+International_Education_Costs!$I236+International_Education_Costs!$J236+International_Education_Costs!$K236)*International_Education_Costs!$L236</f>
        <v>32856.1</v>
      </c>
      <c r="N236" s="5">
        <f>International_Education_Costs!$G236+International_Education_Costs!$I236+International_Education_Costs!$J236+International_Education_Costs!$K236</f>
        <v>41590</v>
      </c>
    </row>
    <row r="237" spans="1:14" x14ac:dyDescent="0.3">
      <c r="A237" s="6" t="s">
        <v>17</v>
      </c>
      <c r="B237" s="6" t="s">
        <v>126</v>
      </c>
      <c r="C237" s="6" t="s">
        <v>127</v>
      </c>
      <c r="D237" s="6" t="s">
        <v>15</v>
      </c>
      <c r="E237" s="6" t="s">
        <v>75</v>
      </c>
      <c r="F237" s="6">
        <v>3</v>
      </c>
      <c r="G237" s="7">
        <v>37900</v>
      </c>
      <c r="H237" s="25">
        <v>77.8</v>
      </c>
      <c r="I237" s="17">
        <v>1850</v>
      </c>
      <c r="J237" s="7">
        <v>490</v>
      </c>
      <c r="K237" s="7">
        <v>800</v>
      </c>
      <c r="L237" s="7">
        <v>0.79</v>
      </c>
      <c r="M237" s="7">
        <f>(International_Education_Costs!$G237+International_Education_Costs!$I237+International_Education_Costs!$J237+International_Education_Costs!$K237)*International_Education_Costs!$L237</f>
        <v>32421.600000000002</v>
      </c>
      <c r="N237" s="7">
        <f>International_Education_Costs!$G237+International_Education_Costs!$I237+International_Education_Costs!$J237+International_Education_Costs!$K237</f>
        <v>41040</v>
      </c>
    </row>
    <row r="238" spans="1:14" x14ac:dyDescent="0.3">
      <c r="A238" s="4" t="s">
        <v>17</v>
      </c>
      <c r="B238" s="4" t="s">
        <v>18</v>
      </c>
      <c r="C238" s="4" t="s">
        <v>19</v>
      </c>
      <c r="D238" s="4" t="s">
        <v>15</v>
      </c>
      <c r="E238" s="4" t="s">
        <v>75</v>
      </c>
      <c r="F238" s="4">
        <v>3</v>
      </c>
      <c r="G238" s="5">
        <v>37500</v>
      </c>
      <c r="H238" s="24">
        <v>83.2</v>
      </c>
      <c r="I238" s="16">
        <v>2200</v>
      </c>
      <c r="J238" s="5">
        <v>490</v>
      </c>
      <c r="K238" s="5">
        <v>800</v>
      </c>
      <c r="L238" s="5">
        <v>0.79</v>
      </c>
      <c r="M238" s="5">
        <f>(International_Education_Costs!$G238+International_Education_Costs!$I238+International_Education_Costs!$J238+International_Education_Costs!$K238)*International_Education_Costs!$L238</f>
        <v>32382.100000000002</v>
      </c>
      <c r="N238" s="5">
        <f>International_Education_Costs!$G238+International_Education_Costs!$I238+International_Education_Costs!$J238+International_Education_Costs!$K238</f>
        <v>40990</v>
      </c>
    </row>
    <row r="239" spans="1:14" x14ac:dyDescent="0.3">
      <c r="A239" s="6" t="s">
        <v>17</v>
      </c>
      <c r="B239" s="6" t="s">
        <v>18</v>
      </c>
      <c r="C239" s="6" t="s">
        <v>290</v>
      </c>
      <c r="D239" s="6" t="s">
        <v>15</v>
      </c>
      <c r="E239" s="6" t="s">
        <v>75</v>
      </c>
      <c r="F239" s="6">
        <v>3</v>
      </c>
      <c r="G239" s="7">
        <v>36800</v>
      </c>
      <c r="H239" s="25">
        <v>83.2</v>
      </c>
      <c r="I239" s="17">
        <v>2100</v>
      </c>
      <c r="J239" s="7">
        <v>490</v>
      </c>
      <c r="K239" s="7">
        <v>800</v>
      </c>
      <c r="L239" s="7">
        <v>0.79</v>
      </c>
      <c r="M239" s="7">
        <f>(International_Education_Costs!$G239+International_Education_Costs!$I239+International_Education_Costs!$J239+International_Education_Costs!$K239)*International_Education_Costs!$L239</f>
        <v>31750.100000000002</v>
      </c>
      <c r="N239" s="7">
        <f>International_Education_Costs!$G239+International_Education_Costs!$I239+International_Education_Costs!$J239+International_Education_Costs!$K239</f>
        <v>40190</v>
      </c>
    </row>
    <row r="240" spans="1:14" x14ac:dyDescent="0.3">
      <c r="A240" s="4" t="s">
        <v>17</v>
      </c>
      <c r="B240" s="4" t="s">
        <v>18</v>
      </c>
      <c r="C240" s="4" t="s">
        <v>529</v>
      </c>
      <c r="D240" s="4" t="s">
        <v>15</v>
      </c>
      <c r="E240" s="4" t="s">
        <v>75</v>
      </c>
      <c r="F240" s="4">
        <v>3</v>
      </c>
      <c r="G240" s="5">
        <v>35500</v>
      </c>
      <c r="H240" s="24">
        <v>83.2</v>
      </c>
      <c r="I240" s="16">
        <v>2000</v>
      </c>
      <c r="J240" s="5">
        <v>490</v>
      </c>
      <c r="K240" s="5">
        <v>800</v>
      </c>
      <c r="L240" s="5">
        <v>0.79</v>
      </c>
      <c r="M240" s="5">
        <f>(International_Education_Costs!$G240+International_Education_Costs!$I240+International_Education_Costs!$J240+International_Education_Costs!$K240)*International_Education_Costs!$L240</f>
        <v>30644.100000000002</v>
      </c>
      <c r="N240" s="5">
        <f>International_Education_Costs!$G240+International_Education_Costs!$I240+International_Education_Costs!$J240+International_Education_Costs!$K240</f>
        <v>38790</v>
      </c>
    </row>
    <row r="241" spans="1:14" x14ac:dyDescent="0.3">
      <c r="A241" s="6" t="s">
        <v>17</v>
      </c>
      <c r="B241" s="6" t="s">
        <v>530</v>
      </c>
      <c r="C241" s="6" t="s">
        <v>531</v>
      </c>
      <c r="D241" s="6" t="s">
        <v>15</v>
      </c>
      <c r="E241" s="6" t="s">
        <v>75</v>
      </c>
      <c r="F241" s="6">
        <v>4</v>
      </c>
      <c r="G241" s="7">
        <v>32500</v>
      </c>
      <c r="H241" s="25">
        <v>75.400000000000006</v>
      </c>
      <c r="I241" s="17">
        <v>1600</v>
      </c>
      <c r="J241" s="7">
        <v>490</v>
      </c>
      <c r="K241" s="7">
        <v>800</v>
      </c>
      <c r="L241" s="7">
        <v>0.79</v>
      </c>
      <c r="M241" s="7">
        <f>(International_Education_Costs!$G241+International_Education_Costs!$I241+International_Education_Costs!$J241+International_Education_Costs!$K241)*International_Education_Costs!$L241</f>
        <v>27958.100000000002</v>
      </c>
      <c r="N241" s="7">
        <f>International_Education_Costs!$G241+International_Education_Costs!$I241+International_Education_Costs!$J241+International_Education_Costs!$K241</f>
        <v>35390</v>
      </c>
    </row>
    <row r="242" spans="1:14" x14ac:dyDescent="0.3">
      <c r="A242" s="4" t="s">
        <v>17</v>
      </c>
      <c r="B242" s="4" t="s">
        <v>173</v>
      </c>
      <c r="C242" s="4" t="s">
        <v>174</v>
      </c>
      <c r="D242" s="4" t="s">
        <v>15</v>
      </c>
      <c r="E242" s="4" t="s">
        <v>75</v>
      </c>
      <c r="F242" s="4">
        <v>3</v>
      </c>
      <c r="G242" s="5">
        <v>31800</v>
      </c>
      <c r="H242" s="24">
        <v>72.099999999999994</v>
      </c>
      <c r="I242" s="16">
        <v>1400</v>
      </c>
      <c r="J242" s="5">
        <v>490</v>
      </c>
      <c r="K242" s="5">
        <v>800</v>
      </c>
      <c r="L242" s="5">
        <v>0.79</v>
      </c>
      <c r="M242" s="5">
        <f>(International_Education_Costs!$G242+International_Education_Costs!$I242+International_Education_Costs!$J242+International_Education_Costs!$K242)*International_Education_Costs!$L242</f>
        <v>27247.100000000002</v>
      </c>
      <c r="N242" s="5">
        <f>International_Education_Costs!$G242+International_Education_Costs!$I242+International_Education_Costs!$J242+International_Education_Costs!$K242</f>
        <v>34490</v>
      </c>
    </row>
    <row r="243" spans="1:14" x14ac:dyDescent="0.3">
      <c r="A243" s="6" t="s">
        <v>17</v>
      </c>
      <c r="B243" s="6" t="s">
        <v>97</v>
      </c>
      <c r="C243" s="6" t="s">
        <v>98</v>
      </c>
      <c r="D243" s="6" t="s">
        <v>15</v>
      </c>
      <c r="E243" s="6" t="s">
        <v>75</v>
      </c>
      <c r="F243" s="6">
        <v>3</v>
      </c>
      <c r="G243" s="7">
        <v>31500</v>
      </c>
      <c r="H243" s="25">
        <v>74.8</v>
      </c>
      <c r="I243" s="17">
        <v>1500</v>
      </c>
      <c r="J243" s="7">
        <v>490</v>
      </c>
      <c r="K243" s="7">
        <v>800</v>
      </c>
      <c r="L243" s="7">
        <v>0.79</v>
      </c>
      <c r="M243" s="7">
        <f>(International_Education_Costs!$G243+International_Education_Costs!$I243+International_Education_Costs!$J243+International_Education_Costs!$K243)*International_Education_Costs!$L243</f>
        <v>27089.100000000002</v>
      </c>
      <c r="N243" s="7">
        <f>International_Education_Costs!$G243+International_Education_Costs!$I243+International_Education_Costs!$J243+International_Education_Costs!$K243</f>
        <v>34290</v>
      </c>
    </row>
    <row r="244" spans="1:14" x14ac:dyDescent="0.3">
      <c r="A244" s="4" t="s">
        <v>17</v>
      </c>
      <c r="B244" s="4" t="s">
        <v>293</v>
      </c>
      <c r="C244" s="4" t="s">
        <v>294</v>
      </c>
      <c r="D244" s="4" t="s">
        <v>15</v>
      </c>
      <c r="E244" s="4" t="s">
        <v>75</v>
      </c>
      <c r="F244" s="4">
        <v>3</v>
      </c>
      <c r="G244" s="5">
        <v>31200</v>
      </c>
      <c r="H244" s="24">
        <v>71.5</v>
      </c>
      <c r="I244" s="16">
        <v>1300</v>
      </c>
      <c r="J244" s="5">
        <v>490</v>
      </c>
      <c r="K244" s="5">
        <v>800</v>
      </c>
      <c r="L244" s="5">
        <v>0.79</v>
      </c>
      <c r="M244" s="5">
        <f>(International_Education_Costs!$G244+International_Education_Costs!$I244+International_Education_Costs!$J244+International_Education_Costs!$K244)*International_Education_Costs!$L244</f>
        <v>26694.100000000002</v>
      </c>
      <c r="N244" s="5">
        <f>International_Education_Costs!$G244+International_Education_Costs!$I244+International_Education_Costs!$J244+International_Education_Costs!$K244</f>
        <v>33790</v>
      </c>
    </row>
    <row r="245" spans="1:14" x14ac:dyDescent="0.3">
      <c r="A245" s="6" t="s">
        <v>17</v>
      </c>
      <c r="B245" s="6" t="s">
        <v>154</v>
      </c>
      <c r="C245" s="6" t="s">
        <v>155</v>
      </c>
      <c r="D245" s="6" t="s">
        <v>15</v>
      </c>
      <c r="E245" s="6" t="s">
        <v>75</v>
      </c>
      <c r="F245" s="6">
        <v>4</v>
      </c>
      <c r="G245" s="7">
        <v>30800</v>
      </c>
      <c r="H245" s="25">
        <v>73.2</v>
      </c>
      <c r="I245" s="17">
        <v>1400</v>
      </c>
      <c r="J245" s="7">
        <v>490</v>
      </c>
      <c r="K245" s="7">
        <v>800</v>
      </c>
      <c r="L245" s="7">
        <v>0.79</v>
      </c>
      <c r="M245" s="7">
        <f>(International_Education_Costs!$G245+International_Education_Costs!$I245+International_Education_Costs!$J245+International_Education_Costs!$K245)*International_Education_Costs!$L245</f>
        <v>26457.100000000002</v>
      </c>
      <c r="N245" s="7">
        <f>International_Education_Costs!$G245+International_Education_Costs!$I245+International_Education_Costs!$J245+International_Education_Costs!$K245</f>
        <v>33490</v>
      </c>
    </row>
    <row r="246" spans="1:14" x14ac:dyDescent="0.3">
      <c r="A246" s="4" t="s">
        <v>17</v>
      </c>
      <c r="B246" s="4" t="s">
        <v>297</v>
      </c>
      <c r="C246" s="4" t="s">
        <v>298</v>
      </c>
      <c r="D246" s="4" t="s">
        <v>15</v>
      </c>
      <c r="E246" s="4" t="s">
        <v>75</v>
      </c>
      <c r="F246" s="4">
        <v>3</v>
      </c>
      <c r="G246" s="5">
        <v>30500</v>
      </c>
      <c r="H246" s="24">
        <v>71.8</v>
      </c>
      <c r="I246" s="16">
        <v>1300</v>
      </c>
      <c r="J246" s="5">
        <v>490</v>
      </c>
      <c r="K246" s="5">
        <v>800</v>
      </c>
      <c r="L246" s="5">
        <v>0.79</v>
      </c>
      <c r="M246" s="5">
        <f>(International_Education_Costs!$G246+International_Education_Costs!$I246+International_Education_Costs!$J246+International_Education_Costs!$K246)*International_Education_Costs!$L246</f>
        <v>26141.100000000002</v>
      </c>
      <c r="N246" s="5">
        <f>International_Education_Costs!$G246+International_Education_Costs!$I246+International_Education_Costs!$J246+International_Education_Costs!$K246</f>
        <v>33090</v>
      </c>
    </row>
    <row r="247" spans="1:14" x14ac:dyDescent="0.3">
      <c r="A247" s="6" t="s">
        <v>17</v>
      </c>
      <c r="B247" s="6" t="s">
        <v>291</v>
      </c>
      <c r="C247" s="6" t="s">
        <v>292</v>
      </c>
      <c r="D247" s="6" t="s">
        <v>15</v>
      </c>
      <c r="E247" s="6" t="s">
        <v>75</v>
      </c>
      <c r="F247" s="6">
        <v>3</v>
      </c>
      <c r="G247" s="7">
        <v>30200</v>
      </c>
      <c r="H247" s="25">
        <v>71.2</v>
      </c>
      <c r="I247" s="17">
        <v>1250</v>
      </c>
      <c r="J247" s="7">
        <v>490</v>
      </c>
      <c r="K247" s="7">
        <v>800</v>
      </c>
      <c r="L247" s="7">
        <v>0.79</v>
      </c>
      <c r="M247" s="7">
        <f>(International_Education_Costs!$G247+International_Education_Costs!$I247+International_Education_Costs!$J247+International_Education_Costs!$K247)*International_Education_Costs!$L247</f>
        <v>25864.600000000002</v>
      </c>
      <c r="N247" s="7">
        <f>International_Education_Costs!$G247+International_Education_Costs!$I247+International_Education_Costs!$J247+International_Education_Costs!$K247</f>
        <v>32740</v>
      </c>
    </row>
    <row r="248" spans="1:14" x14ac:dyDescent="0.3">
      <c r="A248" s="4" t="s">
        <v>17</v>
      </c>
      <c r="B248" s="4" t="s">
        <v>295</v>
      </c>
      <c r="C248" s="4" t="s">
        <v>296</v>
      </c>
      <c r="D248" s="4" t="s">
        <v>15</v>
      </c>
      <c r="E248" s="4" t="s">
        <v>75</v>
      </c>
      <c r="F248" s="4">
        <v>3</v>
      </c>
      <c r="G248" s="5">
        <v>29800</v>
      </c>
      <c r="H248" s="24">
        <v>70.5</v>
      </c>
      <c r="I248" s="16">
        <v>1200</v>
      </c>
      <c r="J248" s="5">
        <v>490</v>
      </c>
      <c r="K248" s="5">
        <v>800</v>
      </c>
      <c r="L248" s="5">
        <v>0.79</v>
      </c>
      <c r="M248" s="5">
        <f>(International_Education_Costs!$G248+International_Education_Costs!$I248+International_Education_Costs!$J248+International_Education_Costs!$K248)*International_Education_Costs!$L248</f>
        <v>25509.100000000002</v>
      </c>
      <c r="N248" s="5">
        <f>International_Education_Costs!$G248+International_Education_Costs!$I248+International_Education_Costs!$J248+International_Education_Costs!$K248</f>
        <v>32290</v>
      </c>
    </row>
    <row r="249" spans="1:14" x14ac:dyDescent="0.3">
      <c r="A249" s="6" t="s">
        <v>17</v>
      </c>
      <c r="B249" s="6" t="s">
        <v>302</v>
      </c>
      <c r="C249" s="6" t="s">
        <v>303</v>
      </c>
      <c r="D249" s="6" t="s">
        <v>15</v>
      </c>
      <c r="E249" s="6" t="s">
        <v>75</v>
      </c>
      <c r="F249" s="6">
        <v>3</v>
      </c>
      <c r="G249" s="7">
        <v>29500</v>
      </c>
      <c r="H249" s="25">
        <v>70.8</v>
      </c>
      <c r="I249" s="17">
        <v>1150</v>
      </c>
      <c r="J249" s="7">
        <v>490</v>
      </c>
      <c r="K249" s="7">
        <v>800</v>
      </c>
      <c r="L249" s="7">
        <v>0.79</v>
      </c>
      <c r="M249" s="7">
        <f>(International_Education_Costs!$G249+International_Education_Costs!$I249+International_Education_Costs!$J249+International_Education_Costs!$K249)*International_Education_Costs!$L249</f>
        <v>25232.600000000002</v>
      </c>
      <c r="N249" s="7">
        <f>International_Education_Costs!$G249+International_Education_Costs!$I249+International_Education_Costs!$J249+International_Education_Costs!$K249</f>
        <v>31940</v>
      </c>
    </row>
    <row r="250" spans="1:14" x14ac:dyDescent="0.3">
      <c r="A250" s="4" t="s">
        <v>17</v>
      </c>
      <c r="B250" s="4" t="s">
        <v>299</v>
      </c>
      <c r="C250" s="4" t="s">
        <v>300</v>
      </c>
      <c r="D250" s="4" t="s">
        <v>15</v>
      </c>
      <c r="E250" s="4" t="s">
        <v>75</v>
      </c>
      <c r="F250" s="4">
        <v>3</v>
      </c>
      <c r="G250" s="5">
        <v>29200</v>
      </c>
      <c r="H250" s="24">
        <v>72.400000000000006</v>
      </c>
      <c r="I250" s="16">
        <v>1300</v>
      </c>
      <c r="J250" s="5">
        <v>490</v>
      </c>
      <c r="K250" s="5">
        <v>800</v>
      </c>
      <c r="L250" s="5">
        <v>0.79</v>
      </c>
      <c r="M250" s="5">
        <f>(International_Education_Costs!$G250+International_Education_Costs!$I250+International_Education_Costs!$J250+International_Education_Costs!$K250)*International_Education_Costs!$L250</f>
        <v>25114.100000000002</v>
      </c>
      <c r="N250" s="5">
        <f>International_Education_Costs!$G250+International_Education_Costs!$I250+International_Education_Costs!$J250+International_Education_Costs!$K250</f>
        <v>31790</v>
      </c>
    </row>
    <row r="251" spans="1:14" x14ac:dyDescent="0.3">
      <c r="A251" s="6" t="s">
        <v>17</v>
      </c>
      <c r="B251" s="6" t="s">
        <v>278</v>
      </c>
      <c r="C251" s="6" t="s">
        <v>532</v>
      </c>
      <c r="D251" s="6" t="s">
        <v>15</v>
      </c>
      <c r="E251" s="6" t="s">
        <v>75</v>
      </c>
      <c r="F251" s="6">
        <v>3</v>
      </c>
      <c r="G251" s="7">
        <v>28900</v>
      </c>
      <c r="H251" s="25">
        <v>71.599999999999994</v>
      </c>
      <c r="I251" s="17">
        <v>1250</v>
      </c>
      <c r="J251" s="7">
        <v>490</v>
      </c>
      <c r="K251" s="7">
        <v>800</v>
      </c>
      <c r="L251" s="7">
        <v>0.79</v>
      </c>
      <c r="M251" s="7">
        <f>(International_Education_Costs!$G251+International_Education_Costs!$I251+International_Education_Costs!$J251+International_Education_Costs!$K251)*International_Education_Costs!$L251</f>
        <v>24837.600000000002</v>
      </c>
      <c r="N251" s="7">
        <f>International_Education_Costs!$G251+International_Education_Costs!$I251+International_Education_Costs!$J251+International_Education_Costs!$K251</f>
        <v>31440</v>
      </c>
    </row>
    <row r="252" spans="1:14" x14ac:dyDescent="0.3">
      <c r="A252" s="4" t="s">
        <v>17</v>
      </c>
      <c r="B252" s="4" t="s">
        <v>533</v>
      </c>
      <c r="C252" s="4" t="s">
        <v>534</v>
      </c>
      <c r="D252" s="4" t="s">
        <v>15</v>
      </c>
      <c r="E252" s="4" t="s">
        <v>75</v>
      </c>
      <c r="F252" s="4">
        <v>3</v>
      </c>
      <c r="G252" s="5">
        <v>28600</v>
      </c>
      <c r="H252" s="24">
        <v>70.2</v>
      </c>
      <c r="I252" s="16">
        <v>1100</v>
      </c>
      <c r="J252" s="5">
        <v>490</v>
      </c>
      <c r="K252" s="5">
        <v>800</v>
      </c>
      <c r="L252" s="5">
        <v>0.79</v>
      </c>
      <c r="M252" s="5">
        <f>(International_Education_Costs!$G252+International_Education_Costs!$I252+International_Education_Costs!$J252+International_Education_Costs!$K252)*International_Education_Costs!$L252</f>
        <v>24482.100000000002</v>
      </c>
      <c r="N252" s="5">
        <f>International_Education_Costs!$G252+International_Education_Costs!$I252+International_Education_Costs!$J252+International_Education_Costs!$K252</f>
        <v>30990</v>
      </c>
    </row>
    <row r="253" spans="1:14" x14ac:dyDescent="0.3">
      <c r="A253" s="6" t="s">
        <v>17</v>
      </c>
      <c r="B253" s="6" t="s">
        <v>304</v>
      </c>
      <c r="C253" s="6" t="s">
        <v>305</v>
      </c>
      <c r="D253" s="6" t="s">
        <v>15</v>
      </c>
      <c r="E253" s="6" t="s">
        <v>75</v>
      </c>
      <c r="F253" s="6">
        <v>3</v>
      </c>
      <c r="G253" s="7">
        <v>28300</v>
      </c>
      <c r="H253" s="25">
        <v>69.8</v>
      </c>
      <c r="I253" s="17">
        <v>1050</v>
      </c>
      <c r="J253" s="7">
        <v>490</v>
      </c>
      <c r="K253" s="7">
        <v>800</v>
      </c>
      <c r="L253" s="7">
        <v>0.79</v>
      </c>
      <c r="M253" s="7">
        <f>(International_Education_Costs!$G253+International_Education_Costs!$I253+International_Education_Costs!$J253+International_Education_Costs!$K253)*International_Education_Costs!$L253</f>
        <v>24205.600000000002</v>
      </c>
      <c r="N253" s="7">
        <f>International_Education_Costs!$G253+International_Education_Costs!$I253+International_Education_Costs!$J253+International_Education_Costs!$K253</f>
        <v>30640</v>
      </c>
    </row>
    <row r="254" spans="1:14" x14ac:dyDescent="0.3">
      <c r="A254" s="4" t="s">
        <v>17</v>
      </c>
      <c r="B254" s="4" t="s">
        <v>232</v>
      </c>
      <c r="C254" s="4" t="s">
        <v>309</v>
      </c>
      <c r="D254" s="4" t="s">
        <v>15</v>
      </c>
      <c r="E254" s="4" t="s">
        <v>75</v>
      </c>
      <c r="F254" s="4">
        <v>3</v>
      </c>
      <c r="G254" s="5">
        <v>28000</v>
      </c>
      <c r="H254" s="24">
        <v>70.099999999999994</v>
      </c>
      <c r="I254" s="16">
        <v>1100</v>
      </c>
      <c r="J254" s="5">
        <v>490</v>
      </c>
      <c r="K254" s="5">
        <v>800</v>
      </c>
      <c r="L254" s="5">
        <v>0.79</v>
      </c>
      <c r="M254" s="5">
        <f>(International_Education_Costs!$G254+International_Education_Costs!$I254+International_Education_Costs!$J254+International_Education_Costs!$K254)*International_Education_Costs!$L254</f>
        <v>24008.100000000002</v>
      </c>
      <c r="N254" s="5">
        <f>International_Education_Costs!$G254+International_Education_Costs!$I254+International_Education_Costs!$J254+International_Education_Costs!$K254</f>
        <v>30390</v>
      </c>
    </row>
    <row r="255" spans="1:14" x14ac:dyDescent="0.3">
      <c r="A255" s="6" t="s">
        <v>17</v>
      </c>
      <c r="B255" s="6" t="s">
        <v>535</v>
      </c>
      <c r="C255" s="6" t="s">
        <v>536</v>
      </c>
      <c r="D255" s="6" t="s">
        <v>15</v>
      </c>
      <c r="E255" s="6" t="s">
        <v>75</v>
      </c>
      <c r="F255" s="6">
        <v>4</v>
      </c>
      <c r="G255" s="7">
        <v>27700</v>
      </c>
      <c r="H255" s="25">
        <v>69.5</v>
      </c>
      <c r="I255" s="17">
        <v>1000</v>
      </c>
      <c r="J255" s="7">
        <v>490</v>
      </c>
      <c r="K255" s="7">
        <v>800</v>
      </c>
      <c r="L255" s="7">
        <v>0.79</v>
      </c>
      <c r="M255" s="7">
        <f>(International_Education_Costs!$G255+International_Education_Costs!$I255+International_Education_Costs!$J255+International_Education_Costs!$K255)*International_Education_Costs!$L255</f>
        <v>23692.100000000002</v>
      </c>
      <c r="N255" s="7">
        <f>International_Education_Costs!$G255+International_Education_Costs!$I255+International_Education_Costs!$J255+International_Education_Costs!$K255</f>
        <v>29990</v>
      </c>
    </row>
    <row r="256" spans="1:14" x14ac:dyDescent="0.3">
      <c r="A256" s="4" t="s">
        <v>17</v>
      </c>
      <c r="B256" s="4" t="s">
        <v>537</v>
      </c>
      <c r="C256" s="4" t="s">
        <v>538</v>
      </c>
      <c r="D256" s="4" t="s">
        <v>15</v>
      </c>
      <c r="E256" s="4" t="s">
        <v>75</v>
      </c>
      <c r="F256" s="4">
        <v>3</v>
      </c>
      <c r="G256" s="5">
        <v>27400</v>
      </c>
      <c r="H256" s="24">
        <v>68.900000000000006</v>
      </c>
      <c r="I256" s="16">
        <v>950</v>
      </c>
      <c r="J256" s="5">
        <v>490</v>
      </c>
      <c r="K256" s="5">
        <v>800</v>
      </c>
      <c r="L256" s="5">
        <v>0.79</v>
      </c>
      <c r="M256" s="5">
        <f>(International_Education_Costs!$G256+International_Education_Costs!$I256+International_Education_Costs!$J256+International_Education_Costs!$K256)*International_Education_Costs!$L256</f>
        <v>23415.600000000002</v>
      </c>
      <c r="N256" s="5">
        <f>International_Education_Costs!$G256+International_Education_Costs!$I256+International_Education_Costs!$J256+International_Education_Costs!$K256</f>
        <v>29640</v>
      </c>
    </row>
    <row r="257" spans="1:14" x14ac:dyDescent="0.3">
      <c r="A257" s="6" t="s">
        <v>17</v>
      </c>
      <c r="B257" s="6" t="s">
        <v>539</v>
      </c>
      <c r="C257" s="6" t="s">
        <v>540</v>
      </c>
      <c r="D257" s="6" t="s">
        <v>15</v>
      </c>
      <c r="E257" s="6" t="s">
        <v>75</v>
      </c>
      <c r="F257" s="6">
        <v>3</v>
      </c>
      <c r="G257" s="7">
        <v>27100</v>
      </c>
      <c r="H257" s="25">
        <v>71.2</v>
      </c>
      <c r="I257" s="17">
        <v>1150</v>
      </c>
      <c r="J257" s="7">
        <v>490</v>
      </c>
      <c r="K257" s="7">
        <v>800</v>
      </c>
      <c r="L257" s="7">
        <v>0.79</v>
      </c>
      <c r="M257" s="7">
        <f>(International_Education_Costs!$G257+International_Education_Costs!$I257+International_Education_Costs!$J257+International_Education_Costs!$K257)*International_Education_Costs!$L257</f>
        <v>23336.600000000002</v>
      </c>
      <c r="N257" s="7">
        <f>International_Education_Costs!$G257+International_Education_Costs!$I257+International_Education_Costs!$J257+International_Education_Costs!$K257</f>
        <v>29540</v>
      </c>
    </row>
    <row r="258" spans="1:14" x14ac:dyDescent="0.3">
      <c r="A258" s="4" t="s">
        <v>17</v>
      </c>
      <c r="B258" s="4" t="s">
        <v>541</v>
      </c>
      <c r="C258" s="4" t="s">
        <v>542</v>
      </c>
      <c r="D258" s="4" t="s">
        <v>15</v>
      </c>
      <c r="E258" s="4" t="s">
        <v>75</v>
      </c>
      <c r="F258" s="4">
        <v>3</v>
      </c>
      <c r="G258" s="5">
        <v>26800</v>
      </c>
      <c r="H258" s="24">
        <v>72.5</v>
      </c>
      <c r="I258" s="16">
        <v>1200</v>
      </c>
      <c r="J258" s="5">
        <v>490</v>
      </c>
      <c r="K258" s="5">
        <v>800</v>
      </c>
      <c r="L258" s="5">
        <v>0.79</v>
      </c>
      <c r="M258" s="5">
        <f>(International_Education_Costs!$G258+International_Education_Costs!$I258+International_Education_Costs!$J258+International_Education_Costs!$K258)*International_Education_Costs!$L258</f>
        <v>23139.100000000002</v>
      </c>
      <c r="N258" s="5">
        <f>International_Education_Costs!$G258+International_Education_Costs!$I258+International_Education_Costs!$J258+International_Education_Costs!$K258</f>
        <v>29290</v>
      </c>
    </row>
    <row r="259" spans="1:14" x14ac:dyDescent="0.3">
      <c r="A259" s="6" t="s">
        <v>17</v>
      </c>
      <c r="B259" s="6" t="s">
        <v>543</v>
      </c>
      <c r="C259" s="6" t="s">
        <v>544</v>
      </c>
      <c r="D259" s="6" t="s">
        <v>15</v>
      </c>
      <c r="E259" s="6" t="s">
        <v>75</v>
      </c>
      <c r="F259" s="6">
        <v>3</v>
      </c>
      <c r="G259" s="7">
        <v>26500</v>
      </c>
      <c r="H259" s="25">
        <v>69.8</v>
      </c>
      <c r="I259" s="17">
        <v>1000</v>
      </c>
      <c r="J259" s="7">
        <v>490</v>
      </c>
      <c r="K259" s="7">
        <v>800</v>
      </c>
      <c r="L259" s="7">
        <v>0.79</v>
      </c>
      <c r="M259" s="7">
        <f>(International_Education_Costs!$G259+International_Education_Costs!$I259+International_Education_Costs!$J259+International_Education_Costs!$K259)*International_Education_Costs!$L259</f>
        <v>22744.100000000002</v>
      </c>
      <c r="N259" s="7">
        <f>International_Education_Costs!$G259+International_Education_Costs!$I259+International_Education_Costs!$J259+International_Education_Costs!$K259</f>
        <v>28790</v>
      </c>
    </row>
    <row r="260" spans="1:14" x14ac:dyDescent="0.3">
      <c r="A260" s="4" t="s">
        <v>17</v>
      </c>
      <c r="B260" s="4" t="s">
        <v>545</v>
      </c>
      <c r="C260" s="4" t="s">
        <v>546</v>
      </c>
      <c r="D260" s="4" t="s">
        <v>15</v>
      </c>
      <c r="E260" s="4" t="s">
        <v>75</v>
      </c>
      <c r="F260" s="4">
        <v>3</v>
      </c>
      <c r="G260" s="5">
        <v>26200</v>
      </c>
      <c r="H260" s="24">
        <v>73.400000000000006</v>
      </c>
      <c r="I260" s="16">
        <v>1250</v>
      </c>
      <c r="J260" s="5">
        <v>490</v>
      </c>
      <c r="K260" s="5">
        <v>800</v>
      </c>
      <c r="L260" s="5">
        <v>0.79</v>
      </c>
      <c r="M260" s="5">
        <f>(International_Education_Costs!$G260+International_Education_Costs!$I260+International_Education_Costs!$J260+International_Education_Costs!$K260)*International_Education_Costs!$L260</f>
        <v>22704.600000000002</v>
      </c>
      <c r="N260" s="5">
        <f>International_Education_Costs!$G260+International_Education_Costs!$I260+International_Education_Costs!$J260+International_Education_Costs!$K260</f>
        <v>28740</v>
      </c>
    </row>
    <row r="261" spans="1:14" x14ac:dyDescent="0.3">
      <c r="A261" s="6" t="s">
        <v>17</v>
      </c>
      <c r="B261" s="6" t="s">
        <v>547</v>
      </c>
      <c r="C261" s="6" t="s">
        <v>548</v>
      </c>
      <c r="D261" s="6" t="s">
        <v>15</v>
      </c>
      <c r="E261" s="6" t="s">
        <v>75</v>
      </c>
      <c r="F261" s="6">
        <v>3</v>
      </c>
      <c r="G261" s="7">
        <v>25900</v>
      </c>
      <c r="H261" s="25">
        <v>71.8</v>
      </c>
      <c r="I261" s="17">
        <v>1150</v>
      </c>
      <c r="J261" s="7">
        <v>490</v>
      </c>
      <c r="K261" s="7">
        <v>800</v>
      </c>
      <c r="L261" s="7">
        <v>0.79</v>
      </c>
      <c r="M261" s="7">
        <f>(International_Education_Costs!$G261+International_Education_Costs!$I261+International_Education_Costs!$J261+International_Education_Costs!$K261)*International_Education_Costs!$L261</f>
        <v>22388.600000000002</v>
      </c>
      <c r="N261" s="7">
        <f>International_Education_Costs!$G261+International_Education_Costs!$I261+International_Education_Costs!$J261+International_Education_Costs!$K261</f>
        <v>28340</v>
      </c>
    </row>
    <row r="262" spans="1:14" x14ac:dyDescent="0.3">
      <c r="A262" s="4" t="s">
        <v>17</v>
      </c>
      <c r="B262" s="4" t="s">
        <v>549</v>
      </c>
      <c r="C262" s="4" t="s">
        <v>550</v>
      </c>
      <c r="D262" s="4" t="s">
        <v>15</v>
      </c>
      <c r="E262" s="4" t="s">
        <v>75</v>
      </c>
      <c r="F262" s="4">
        <v>3</v>
      </c>
      <c r="G262" s="5">
        <v>25600</v>
      </c>
      <c r="H262" s="24">
        <v>72.099999999999994</v>
      </c>
      <c r="I262" s="16">
        <v>1200</v>
      </c>
      <c r="J262" s="5">
        <v>490</v>
      </c>
      <c r="K262" s="5">
        <v>800</v>
      </c>
      <c r="L262" s="5">
        <v>0.79</v>
      </c>
      <c r="M262" s="5">
        <f>(International_Education_Costs!$G262+International_Education_Costs!$I262+International_Education_Costs!$J262+International_Education_Costs!$K262)*International_Education_Costs!$L262</f>
        <v>22191.100000000002</v>
      </c>
      <c r="N262" s="5">
        <f>International_Education_Costs!$G262+International_Education_Costs!$I262+International_Education_Costs!$J262+International_Education_Costs!$K262</f>
        <v>28090</v>
      </c>
    </row>
    <row r="263" spans="1:14" x14ac:dyDescent="0.3">
      <c r="A263" s="6" t="s">
        <v>17</v>
      </c>
      <c r="B263" s="6" t="s">
        <v>551</v>
      </c>
      <c r="C263" s="6" t="s">
        <v>552</v>
      </c>
      <c r="D263" s="6" t="s">
        <v>15</v>
      </c>
      <c r="E263" s="6" t="s">
        <v>75</v>
      </c>
      <c r="F263" s="6">
        <v>3</v>
      </c>
      <c r="G263" s="7">
        <v>25300</v>
      </c>
      <c r="H263" s="25">
        <v>70.5</v>
      </c>
      <c r="I263" s="17">
        <v>1100</v>
      </c>
      <c r="J263" s="7">
        <v>490</v>
      </c>
      <c r="K263" s="7">
        <v>800</v>
      </c>
      <c r="L263" s="7">
        <v>0.79</v>
      </c>
      <c r="M263" s="7">
        <f>(International_Education_Costs!$G263+International_Education_Costs!$I263+International_Education_Costs!$J263+International_Education_Costs!$K263)*International_Education_Costs!$L263</f>
        <v>21875.100000000002</v>
      </c>
      <c r="N263" s="7">
        <f>International_Education_Costs!$G263+International_Education_Costs!$I263+International_Education_Costs!$J263+International_Education_Costs!$K263</f>
        <v>27690</v>
      </c>
    </row>
    <row r="264" spans="1:14" x14ac:dyDescent="0.3">
      <c r="A264" s="4" t="s">
        <v>17</v>
      </c>
      <c r="B264" s="4" t="s">
        <v>553</v>
      </c>
      <c r="C264" s="4" t="s">
        <v>554</v>
      </c>
      <c r="D264" s="4" t="s">
        <v>15</v>
      </c>
      <c r="E264" s="4" t="s">
        <v>75</v>
      </c>
      <c r="F264" s="4">
        <v>4</v>
      </c>
      <c r="G264" s="5">
        <v>25000</v>
      </c>
      <c r="H264" s="24">
        <v>68.900000000000006</v>
      </c>
      <c r="I264" s="16">
        <v>950</v>
      </c>
      <c r="J264" s="5">
        <v>490</v>
      </c>
      <c r="K264" s="5">
        <v>800</v>
      </c>
      <c r="L264" s="5">
        <v>0.79</v>
      </c>
      <c r="M264" s="5">
        <f>(International_Education_Costs!$G264+International_Education_Costs!$I264+International_Education_Costs!$J264+International_Education_Costs!$K264)*International_Education_Costs!$L264</f>
        <v>21519.600000000002</v>
      </c>
      <c r="N264" s="5">
        <f>International_Education_Costs!$G264+International_Education_Costs!$I264+International_Education_Costs!$J264+International_Education_Costs!$K264</f>
        <v>27240</v>
      </c>
    </row>
    <row r="265" spans="1:14" x14ac:dyDescent="0.3">
      <c r="A265" s="6" t="s">
        <v>17</v>
      </c>
      <c r="B265" s="6" t="s">
        <v>555</v>
      </c>
      <c r="C265" s="6" t="s">
        <v>556</v>
      </c>
      <c r="D265" s="6" t="s">
        <v>15</v>
      </c>
      <c r="E265" s="6" t="s">
        <v>75</v>
      </c>
      <c r="F265" s="6">
        <v>4</v>
      </c>
      <c r="G265" s="7">
        <v>24700</v>
      </c>
      <c r="H265" s="25">
        <v>69.2</v>
      </c>
      <c r="I265" s="17">
        <v>1000</v>
      </c>
      <c r="J265" s="7">
        <v>490</v>
      </c>
      <c r="K265" s="7">
        <v>800</v>
      </c>
      <c r="L265" s="7">
        <v>0.79</v>
      </c>
      <c r="M265" s="7">
        <f>(International_Education_Costs!$G265+International_Education_Costs!$I265+International_Education_Costs!$J265+International_Education_Costs!$K265)*International_Education_Costs!$L265</f>
        <v>21322.100000000002</v>
      </c>
      <c r="N265" s="7">
        <f>International_Education_Costs!$G265+International_Education_Costs!$I265+International_Education_Costs!$J265+International_Education_Costs!$K265</f>
        <v>26990</v>
      </c>
    </row>
    <row r="266" spans="1:14" x14ac:dyDescent="0.3">
      <c r="A266" s="4" t="s">
        <v>17</v>
      </c>
      <c r="B266" s="4" t="s">
        <v>557</v>
      </c>
      <c r="C266" s="4" t="s">
        <v>558</v>
      </c>
      <c r="D266" s="4" t="s">
        <v>15</v>
      </c>
      <c r="E266" s="4" t="s">
        <v>75</v>
      </c>
      <c r="F266" s="4">
        <v>4</v>
      </c>
      <c r="G266" s="5">
        <v>24400</v>
      </c>
      <c r="H266" s="24">
        <v>69.5</v>
      </c>
      <c r="I266" s="16">
        <v>1050</v>
      </c>
      <c r="J266" s="5">
        <v>490</v>
      </c>
      <c r="K266" s="5">
        <v>800</v>
      </c>
      <c r="L266" s="5">
        <v>0.79</v>
      </c>
      <c r="M266" s="5">
        <f>(International_Education_Costs!$G266+International_Education_Costs!$I266+International_Education_Costs!$J266+International_Education_Costs!$K266)*International_Education_Costs!$L266</f>
        <v>21124.600000000002</v>
      </c>
      <c r="N266" s="5">
        <f>International_Education_Costs!$G266+International_Education_Costs!$I266+International_Education_Costs!$J266+International_Education_Costs!$K266</f>
        <v>26740</v>
      </c>
    </row>
    <row r="267" spans="1:14" x14ac:dyDescent="0.3">
      <c r="A267" s="6" t="s">
        <v>17</v>
      </c>
      <c r="B267" s="6" t="s">
        <v>559</v>
      </c>
      <c r="C267" s="6" t="s">
        <v>560</v>
      </c>
      <c r="D267" s="6" t="s">
        <v>15</v>
      </c>
      <c r="E267" s="6" t="s">
        <v>75</v>
      </c>
      <c r="F267" s="6">
        <v>3</v>
      </c>
      <c r="G267" s="7">
        <v>24100</v>
      </c>
      <c r="H267" s="25">
        <v>68.5</v>
      </c>
      <c r="I267" s="17">
        <v>900</v>
      </c>
      <c r="J267" s="7">
        <v>490</v>
      </c>
      <c r="K267" s="7">
        <v>800</v>
      </c>
      <c r="L267" s="7">
        <v>0.79</v>
      </c>
      <c r="M267" s="7">
        <f>(International_Education_Costs!$G267+International_Education_Costs!$I267+International_Education_Costs!$J267+International_Education_Costs!$K267)*International_Education_Costs!$L267</f>
        <v>20769.100000000002</v>
      </c>
      <c r="N267" s="7">
        <f>International_Education_Costs!$G267+International_Education_Costs!$I267+International_Education_Costs!$J267+International_Education_Costs!$K267</f>
        <v>26290</v>
      </c>
    </row>
    <row r="268" spans="1:14" x14ac:dyDescent="0.3">
      <c r="A268" s="4" t="s">
        <v>17</v>
      </c>
      <c r="B268" s="4" t="s">
        <v>561</v>
      </c>
      <c r="C268" s="4" t="s">
        <v>562</v>
      </c>
      <c r="D268" s="4" t="s">
        <v>15</v>
      </c>
      <c r="E268" s="4" t="s">
        <v>75</v>
      </c>
      <c r="F268" s="4">
        <v>3</v>
      </c>
      <c r="G268" s="5">
        <v>23800</v>
      </c>
      <c r="H268" s="24">
        <v>83.2</v>
      </c>
      <c r="I268" s="16">
        <v>1800</v>
      </c>
      <c r="J268" s="5">
        <v>490</v>
      </c>
      <c r="K268" s="5">
        <v>800</v>
      </c>
      <c r="L268" s="5">
        <v>0.79</v>
      </c>
      <c r="M268" s="5">
        <f>(International_Education_Costs!$G268+International_Education_Costs!$I268+International_Education_Costs!$J268+International_Education_Costs!$K268)*International_Education_Costs!$L268</f>
        <v>21243.100000000002</v>
      </c>
      <c r="N268" s="5">
        <f>International_Education_Costs!$G268+International_Education_Costs!$I268+International_Education_Costs!$J268+International_Education_Costs!$K268</f>
        <v>26890</v>
      </c>
    </row>
    <row r="269" spans="1:14" x14ac:dyDescent="0.3">
      <c r="A269" s="6" t="s">
        <v>17</v>
      </c>
      <c r="B269" s="6" t="s">
        <v>563</v>
      </c>
      <c r="C269" s="6" t="s">
        <v>564</v>
      </c>
      <c r="D269" s="6" t="s">
        <v>15</v>
      </c>
      <c r="E269" s="6" t="s">
        <v>75</v>
      </c>
      <c r="F269" s="6">
        <v>3</v>
      </c>
      <c r="G269" s="7">
        <v>23500</v>
      </c>
      <c r="H269" s="25">
        <v>83.2</v>
      </c>
      <c r="I269" s="17">
        <v>1900</v>
      </c>
      <c r="J269" s="7">
        <v>490</v>
      </c>
      <c r="K269" s="7">
        <v>800</v>
      </c>
      <c r="L269" s="7">
        <v>0.79</v>
      </c>
      <c r="M269" s="7">
        <f>(International_Education_Costs!$G269+International_Education_Costs!$I269+International_Education_Costs!$J269+International_Education_Costs!$K269)*International_Education_Costs!$L269</f>
        <v>21085.100000000002</v>
      </c>
      <c r="N269" s="7">
        <f>International_Education_Costs!$G269+International_Education_Costs!$I269+International_Education_Costs!$J269+International_Education_Costs!$K269</f>
        <v>26690</v>
      </c>
    </row>
    <row r="270" spans="1:14" x14ac:dyDescent="0.3">
      <c r="A270" s="4" t="s">
        <v>17</v>
      </c>
      <c r="B270" s="4" t="s">
        <v>565</v>
      </c>
      <c r="C270" s="4" t="s">
        <v>566</v>
      </c>
      <c r="D270" s="4" t="s">
        <v>15</v>
      </c>
      <c r="E270" s="4" t="s">
        <v>75</v>
      </c>
      <c r="F270" s="4">
        <v>3</v>
      </c>
      <c r="G270" s="5">
        <v>23200</v>
      </c>
      <c r="H270" s="24">
        <v>75.5</v>
      </c>
      <c r="I270" s="16">
        <v>1400</v>
      </c>
      <c r="J270" s="5">
        <v>490</v>
      </c>
      <c r="K270" s="5">
        <v>800</v>
      </c>
      <c r="L270" s="5">
        <v>0.79</v>
      </c>
      <c r="M270" s="5">
        <f>(International_Education_Costs!$G270+International_Education_Costs!$I270+International_Education_Costs!$J270+International_Education_Costs!$K270)*International_Education_Costs!$L270</f>
        <v>20453.100000000002</v>
      </c>
      <c r="N270" s="5">
        <f>International_Education_Costs!$G270+International_Education_Costs!$I270+International_Education_Costs!$J270+International_Education_Costs!$K270</f>
        <v>25890</v>
      </c>
    </row>
    <row r="271" spans="1:14" x14ac:dyDescent="0.3">
      <c r="A271" s="6" t="s">
        <v>17</v>
      </c>
      <c r="B271" s="6" t="s">
        <v>567</v>
      </c>
      <c r="C271" s="6" t="s">
        <v>568</v>
      </c>
      <c r="D271" s="6" t="s">
        <v>15</v>
      </c>
      <c r="E271" s="6" t="s">
        <v>75</v>
      </c>
      <c r="F271" s="6">
        <v>3</v>
      </c>
      <c r="G271" s="7">
        <v>22900</v>
      </c>
      <c r="H271" s="25">
        <v>69.8</v>
      </c>
      <c r="I271" s="17">
        <v>1000</v>
      </c>
      <c r="J271" s="7">
        <v>490</v>
      </c>
      <c r="K271" s="7">
        <v>800</v>
      </c>
      <c r="L271" s="7">
        <v>0.79</v>
      </c>
      <c r="M271" s="7">
        <f>(International_Education_Costs!$G271+International_Education_Costs!$I271+International_Education_Costs!$J271+International_Education_Costs!$K271)*International_Education_Costs!$L271</f>
        <v>19900.100000000002</v>
      </c>
      <c r="N271" s="7">
        <f>International_Education_Costs!$G271+International_Education_Costs!$I271+International_Education_Costs!$J271+International_Education_Costs!$K271</f>
        <v>25190</v>
      </c>
    </row>
    <row r="272" spans="1:14" x14ac:dyDescent="0.3">
      <c r="A272" s="4" t="s">
        <v>17</v>
      </c>
      <c r="B272" s="4" t="s">
        <v>569</v>
      </c>
      <c r="C272" s="4" t="s">
        <v>570</v>
      </c>
      <c r="D272" s="4" t="s">
        <v>15</v>
      </c>
      <c r="E272" s="4" t="s">
        <v>75</v>
      </c>
      <c r="F272" s="4">
        <v>3</v>
      </c>
      <c r="G272" s="5">
        <v>22600</v>
      </c>
      <c r="H272" s="24">
        <v>68.5</v>
      </c>
      <c r="I272" s="16">
        <v>950</v>
      </c>
      <c r="J272" s="5">
        <v>490</v>
      </c>
      <c r="K272" s="5">
        <v>800</v>
      </c>
      <c r="L272" s="5">
        <v>0.79</v>
      </c>
      <c r="M272" s="5">
        <f>(International_Education_Costs!$G272+International_Education_Costs!$I272+International_Education_Costs!$J272+International_Education_Costs!$K272)*International_Education_Costs!$L272</f>
        <v>19623.600000000002</v>
      </c>
      <c r="N272" s="5">
        <f>International_Education_Costs!$G272+International_Education_Costs!$I272+International_Education_Costs!$J272+International_Education_Costs!$K272</f>
        <v>24840</v>
      </c>
    </row>
    <row r="273" spans="1:14" x14ac:dyDescent="0.3">
      <c r="A273" s="6" t="s">
        <v>17</v>
      </c>
      <c r="B273" s="6" t="s">
        <v>571</v>
      </c>
      <c r="C273" s="6" t="s">
        <v>572</v>
      </c>
      <c r="D273" s="6" t="s">
        <v>15</v>
      </c>
      <c r="E273" s="6" t="s">
        <v>75</v>
      </c>
      <c r="F273" s="6">
        <v>3</v>
      </c>
      <c r="G273" s="7">
        <v>22300</v>
      </c>
      <c r="H273" s="25">
        <v>71.8</v>
      </c>
      <c r="I273" s="17">
        <v>1200</v>
      </c>
      <c r="J273" s="7">
        <v>490</v>
      </c>
      <c r="K273" s="7">
        <v>800</v>
      </c>
      <c r="L273" s="7">
        <v>0.79</v>
      </c>
      <c r="M273" s="7">
        <f>(International_Education_Costs!$G273+International_Education_Costs!$I273+International_Education_Costs!$J273+International_Education_Costs!$K273)*International_Education_Costs!$L273</f>
        <v>19584.100000000002</v>
      </c>
      <c r="N273" s="7">
        <f>International_Education_Costs!$G273+International_Education_Costs!$I273+International_Education_Costs!$J273+International_Education_Costs!$K273</f>
        <v>24790</v>
      </c>
    </row>
    <row r="274" spans="1:14" x14ac:dyDescent="0.3">
      <c r="A274" s="4" t="s">
        <v>17</v>
      </c>
      <c r="B274" s="4" t="s">
        <v>573</v>
      </c>
      <c r="C274" s="4" t="s">
        <v>574</v>
      </c>
      <c r="D274" s="4" t="s">
        <v>15</v>
      </c>
      <c r="E274" s="4" t="s">
        <v>75</v>
      </c>
      <c r="F274" s="4">
        <v>3</v>
      </c>
      <c r="G274" s="5">
        <v>22000</v>
      </c>
      <c r="H274" s="24">
        <v>67.900000000000006</v>
      </c>
      <c r="I274" s="16">
        <v>850</v>
      </c>
      <c r="J274" s="5">
        <v>490</v>
      </c>
      <c r="K274" s="5">
        <v>800</v>
      </c>
      <c r="L274" s="5">
        <v>0.79</v>
      </c>
      <c r="M274" s="5">
        <f>(International_Education_Costs!$G274+International_Education_Costs!$I274+International_Education_Costs!$J274+International_Education_Costs!$K274)*International_Education_Costs!$L274</f>
        <v>19070.600000000002</v>
      </c>
      <c r="N274" s="5">
        <f>International_Education_Costs!$G274+International_Education_Costs!$I274+International_Education_Costs!$J274+International_Education_Costs!$K274</f>
        <v>24140</v>
      </c>
    </row>
    <row r="275" spans="1:14" x14ac:dyDescent="0.3">
      <c r="A275" s="6" t="s">
        <v>17</v>
      </c>
      <c r="B275" s="6" t="s">
        <v>575</v>
      </c>
      <c r="C275" s="6" t="s">
        <v>576</v>
      </c>
      <c r="D275" s="6" t="s">
        <v>15</v>
      </c>
      <c r="E275" s="6" t="s">
        <v>75</v>
      </c>
      <c r="F275" s="6">
        <v>3</v>
      </c>
      <c r="G275" s="7">
        <v>21700</v>
      </c>
      <c r="H275" s="25">
        <v>67.5</v>
      </c>
      <c r="I275" s="17">
        <v>800</v>
      </c>
      <c r="J275" s="7">
        <v>490</v>
      </c>
      <c r="K275" s="7">
        <v>800</v>
      </c>
      <c r="L275" s="7">
        <v>0.79</v>
      </c>
      <c r="M275" s="7">
        <f>(International_Education_Costs!$G275+International_Education_Costs!$I275+International_Education_Costs!$J275+International_Education_Costs!$K275)*International_Education_Costs!$L275</f>
        <v>18794.100000000002</v>
      </c>
      <c r="N275" s="7">
        <f>International_Education_Costs!$G275+International_Education_Costs!$I275+International_Education_Costs!$J275+International_Education_Costs!$K275</f>
        <v>23790</v>
      </c>
    </row>
    <row r="276" spans="1:14" x14ac:dyDescent="0.3">
      <c r="A276" s="4" t="s">
        <v>17</v>
      </c>
      <c r="B276" s="4" t="s">
        <v>577</v>
      </c>
      <c r="C276" s="4" t="s">
        <v>578</v>
      </c>
      <c r="D276" s="4" t="s">
        <v>15</v>
      </c>
      <c r="E276" s="4" t="s">
        <v>75</v>
      </c>
      <c r="F276" s="4">
        <v>3</v>
      </c>
      <c r="G276" s="5">
        <v>21400</v>
      </c>
      <c r="H276" s="24">
        <v>69.2</v>
      </c>
      <c r="I276" s="16">
        <v>950</v>
      </c>
      <c r="J276" s="5">
        <v>490</v>
      </c>
      <c r="K276" s="5">
        <v>800</v>
      </c>
      <c r="L276" s="5">
        <v>0.79</v>
      </c>
      <c r="M276" s="5">
        <f>(International_Education_Costs!$G276+International_Education_Costs!$I276+International_Education_Costs!$J276+International_Education_Costs!$K276)*International_Education_Costs!$L276</f>
        <v>18675.600000000002</v>
      </c>
      <c r="N276" s="5">
        <f>International_Education_Costs!$G276+International_Education_Costs!$I276+International_Education_Costs!$J276+International_Education_Costs!$K276</f>
        <v>23640</v>
      </c>
    </row>
    <row r="277" spans="1:14" x14ac:dyDescent="0.3">
      <c r="A277" s="6" t="s">
        <v>17</v>
      </c>
      <c r="B277" s="6" t="s">
        <v>579</v>
      </c>
      <c r="C277" s="6" t="s">
        <v>580</v>
      </c>
      <c r="D277" s="6" t="s">
        <v>15</v>
      </c>
      <c r="E277" s="6" t="s">
        <v>75</v>
      </c>
      <c r="F277" s="6">
        <v>3</v>
      </c>
      <c r="G277" s="7">
        <v>21100</v>
      </c>
      <c r="H277" s="25">
        <v>70.5</v>
      </c>
      <c r="I277" s="17">
        <v>1000</v>
      </c>
      <c r="J277" s="7">
        <v>490</v>
      </c>
      <c r="K277" s="7">
        <v>800</v>
      </c>
      <c r="L277" s="7">
        <v>0.79</v>
      </c>
      <c r="M277" s="7">
        <f>(International_Education_Costs!$G277+International_Education_Costs!$I277+International_Education_Costs!$J277+International_Education_Costs!$K277)*International_Education_Costs!$L277</f>
        <v>18478.100000000002</v>
      </c>
      <c r="N277" s="7">
        <f>International_Education_Costs!$G277+International_Education_Costs!$I277+International_Education_Costs!$J277+International_Education_Costs!$K277</f>
        <v>23390</v>
      </c>
    </row>
    <row r="278" spans="1:14" x14ac:dyDescent="0.3">
      <c r="A278" s="4" t="s">
        <v>17</v>
      </c>
      <c r="B278" s="4" t="s">
        <v>581</v>
      </c>
      <c r="C278" s="4" t="s">
        <v>582</v>
      </c>
      <c r="D278" s="4" t="s">
        <v>15</v>
      </c>
      <c r="E278" s="4" t="s">
        <v>75</v>
      </c>
      <c r="F278" s="4">
        <v>3</v>
      </c>
      <c r="G278" s="5">
        <v>20800</v>
      </c>
      <c r="H278" s="24">
        <v>67.2</v>
      </c>
      <c r="I278" s="16">
        <v>800</v>
      </c>
      <c r="J278" s="5">
        <v>490</v>
      </c>
      <c r="K278" s="5">
        <v>800</v>
      </c>
      <c r="L278" s="5">
        <v>0.79</v>
      </c>
      <c r="M278" s="5">
        <f>(International_Education_Costs!$G278+International_Education_Costs!$I278+International_Education_Costs!$J278+International_Education_Costs!$K278)*International_Education_Costs!$L278</f>
        <v>18083.100000000002</v>
      </c>
      <c r="N278" s="5">
        <f>International_Education_Costs!$G278+International_Education_Costs!$I278+International_Education_Costs!$J278+International_Education_Costs!$K278</f>
        <v>22890</v>
      </c>
    </row>
    <row r="279" spans="1:14" x14ac:dyDescent="0.3">
      <c r="A279" s="6" t="s">
        <v>17</v>
      </c>
      <c r="B279" s="6" t="s">
        <v>583</v>
      </c>
      <c r="C279" s="6" t="s">
        <v>584</v>
      </c>
      <c r="D279" s="6" t="s">
        <v>15</v>
      </c>
      <c r="E279" s="6" t="s">
        <v>75</v>
      </c>
      <c r="F279" s="6">
        <v>3</v>
      </c>
      <c r="G279" s="7">
        <v>20500</v>
      </c>
      <c r="H279" s="25">
        <v>68.5</v>
      </c>
      <c r="I279" s="17">
        <v>900</v>
      </c>
      <c r="J279" s="7">
        <v>490</v>
      </c>
      <c r="K279" s="7">
        <v>800</v>
      </c>
      <c r="L279" s="7">
        <v>0.79</v>
      </c>
      <c r="M279" s="7">
        <f>(International_Education_Costs!$G279+International_Education_Costs!$I279+International_Education_Costs!$J279+International_Education_Costs!$K279)*International_Education_Costs!$L279</f>
        <v>17925.100000000002</v>
      </c>
      <c r="N279" s="7">
        <f>International_Education_Costs!$G279+International_Education_Costs!$I279+International_Education_Costs!$J279+International_Education_Costs!$K279</f>
        <v>22690</v>
      </c>
    </row>
    <row r="280" spans="1:14" x14ac:dyDescent="0.3">
      <c r="A280" s="4" t="s">
        <v>17</v>
      </c>
      <c r="B280" s="4" t="s">
        <v>585</v>
      </c>
      <c r="C280" s="4" t="s">
        <v>586</v>
      </c>
      <c r="D280" s="4" t="s">
        <v>15</v>
      </c>
      <c r="E280" s="4" t="s">
        <v>75</v>
      </c>
      <c r="F280" s="4">
        <v>3</v>
      </c>
      <c r="G280" s="5">
        <v>20200</v>
      </c>
      <c r="H280" s="24">
        <v>69.8</v>
      </c>
      <c r="I280" s="16">
        <v>950</v>
      </c>
      <c r="J280" s="5">
        <v>490</v>
      </c>
      <c r="K280" s="5">
        <v>800</v>
      </c>
      <c r="L280" s="5">
        <v>0.79</v>
      </c>
      <c r="M280" s="5">
        <f>(International_Education_Costs!$G280+International_Education_Costs!$I280+International_Education_Costs!$J280+International_Education_Costs!$K280)*International_Education_Costs!$L280</f>
        <v>17727.600000000002</v>
      </c>
      <c r="N280" s="5">
        <f>International_Education_Costs!$G280+International_Education_Costs!$I280+International_Education_Costs!$J280+International_Education_Costs!$K280</f>
        <v>22440</v>
      </c>
    </row>
    <row r="281" spans="1:14" x14ac:dyDescent="0.3">
      <c r="A281" s="6" t="s">
        <v>17</v>
      </c>
      <c r="B281" s="6" t="s">
        <v>587</v>
      </c>
      <c r="C281" s="6" t="s">
        <v>588</v>
      </c>
      <c r="D281" s="6" t="s">
        <v>15</v>
      </c>
      <c r="E281" s="6" t="s">
        <v>75</v>
      </c>
      <c r="F281" s="6">
        <v>3</v>
      </c>
      <c r="G281" s="7">
        <v>19900</v>
      </c>
      <c r="H281" s="25">
        <v>77.8</v>
      </c>
      <c r="I281" s="17">
        <v>1500</v>
      </c>
      <c r="J281" s="7">
        <v>490</v>
      </c>
      <c r="K281" s="7">
        <v>800</v>
      </c>
      <c r="L281" s="7">
        <v>0.79</v>
      </c>
      <c r="M281" s="7">
        <f>(International_Education_Costs!$G281+International_Education_Costs!$I281+International_Education_Costs!$J281+International_Education_Costs!$K281)*International_Education_Costs!$L281</f>
        <v>17925.100000000002</v>
      </c>
      <c r="N281" s="7">
        <f>International_Education_Costs!$G281+International_Education_Costs!$I281+International_Education_Costs!$J281+International_Education_Costs!$K281</f>
        <v>22690</v>
      </c>
    </row>
    <row r="282" spans="1:14" x14ac:dyDescent="0.3">
      <c r="A282" s="4" t="s">
        <v>17</v>
      </c>
      <c r="B282" s="4" t="s">
        <v>589</v>
      </c>
      <c r="C282" s="4" t="s">
        <v>590</v>
      </c>
      <c r="D282" s="4" t="s">
        <v>15</v>
      </c>
      <c r="E282" s="4" t="s">
        <v>75</v>
      </c>
      <c r="F282" s="4">
        <v>3</v>
      </c>
      <c r="G282" s="5">
        <v>19600</v>
      </c>
      <c r="H282" s="24">
        <v>68.900000000000006</v>
      </c>
      <c r="I282" s="16">
        <v>900</v>
      </c>
      <c r="J282" s="5">
        <v>490</v>
      </c>
      <c r="K282" s="5">
        <v>800</v>
      </c>
      <c r="L282" s="5">
        <v>0.79</v>
      </c>
      <c r="M282" s="5">
        <f>(International_Education_Costs!$G282+International_Education_Costs!$I282+International_Education_Costs!$J282+International_Education_Costs!$K282)*International_Education_Costs!$L282</f>
        <v>17214.100000000002</v>
      </c>
      <c r="N282" s="5">
        <f>International_Education_Costs!$G282+International_Education_Costs!$I282+International_Education_Costs!$J282+International_Education_Costs!$K282</f>
        <v>21790</v>
      </c>
    </row>
    <row r="283" spans="1:14" x14ac:dyDescent="0.3">
      <c r="A283" s="6" t="s">
        <v>17</v>
      </c>
      <c r="B283" s="6" t="s">
        <v>591</v>
      </c>
      <c r="C283" s="6" t="s">
        <v>592</v>
      </c>
      <c r="D283" s="6" t="s">
        <v>15</v>
      </c>
      <c r="E283" s="6" t="s">
        <v>75</v>
      </c>
      <c r="F283" s="6">
        <v>3</v>
      </c>
      <c r="G283" s="7">
        <v>19300</v>
      </c>
      <c r="H283" s="25">
        <v>83.2</v>
      </c>
      <c r="I283" s="17">
        <v>1800</v>
      </c>
      <c r="J283" s="7">
        <v>490</v>
      </c>
      <c r="K283" s="7">
        <v>800</v>
      </c>
      <c r="L283" s="7">
        <v>0.79</v>
      </c>
      <c r="M283" s="7">
        <f>(International_Education_Costs!$G283+International_Education_Costs!$I283+International_Education_Costs!$J283+International_Education_Costs!$K283)*International_Education_Costs!$L283</f>
        <v>17688.100000000002</v>
      </c>
      <c r="N283" s="7">
        <f>International_Education_Costs!$G283+International_Education_Costs!$I283+International_Education_Costs!$J283+International_Education_Costs!$K283</f>
        <v>22390</v>
      </c>
    </row>
    <row r="284" spans="1:14" x14ac:dyDescent="0.3">
      <c r="A284" s="4" t="s">
        <v>17</v>
      </c>
      <c r="B284" s="4" t="s">
        <v>593</v>
      </c>
      <c r="C284" s="4" t="s">
        <v>594</v>
      </c>
      <c r="D284" s="4" t="s">
        <v>15</v>
      </c>
      <c r="E284" s="4" t="s">
        <v>75</v>
      </c>
      <c r="F284" s="4">
        <v>3</v>
      </c>
      <c r="G284" s="5">
        <v>19000</v>
      </c>
      <c r="H284" s="24">
        <v>83.2</v>
      </c>
      <c r="I284" s="16">
        <v>1700</v>
      </c>
      <c r="J284" s="5">
        <v>490</v>
      </c>
      <c r="K284" s="5">
        <v>800</v>
      </c>
      <c r="L284" s="5">
        <v>0.79</v>
      </c>
      <c r="M284" s="5">
        <f>(International_Education_Costs!$G284+International_Education_Costs!$I284+International_Education_Costs!$J284+International_Education_Costs!$K284)*International_Education_Costs!$L284</f>
        <v>17372.100000000002</v>
      </c>
      <c r="N284" s="5">
        <f>International_Education_Costs!$G284+International_Education_Costs!$I284+International_Education_Costs!$J284+International_Education_Costs!$K284</f>
        <v>21990</v>
      </c>
    </row>
    <row r="285" spans="1:14" x14ac:dyDescent="0.3">
      <c r="A285" s="6" t="s">
        <v>17</v>
      </c>
      <c r="B285" s="6" t="s">
        <v>595</v>
      </c>
      <c r="C285" s="6" t="s">
        <v>596</v>
      </c>
      <c r="D285" s="6" t="s">
        <v>15</v>
      </c>
      <c r="E285" s="6" t="s">
        <v>75</v>
      </c>
      <c r="F285" s="6">
        <v>3</v>
      </c>
      <c r="G285" s="7">
        <v>18700</v>
      </c>
      <c r="H285" s="25">
        <v>83.2</v>
      </c>
      <c r="I285" s="17">
        <v>1600</v>
      </c>
      <c r="J285" s="7">
        <v>490</v>
      </c>
      <c r="K285" s="7">
        <v>800</v>
      </c>
      <c r="L285" s="7">
        <v>0.79</v>
      </c>
      <c r="M285" s="7">
        <f>(International_Education_Costs!$G285+International_Education_Costs!$I285+International_Education_Costs!$J285+International_Education_Costs!$K285)*International_Education_Costs!$L285</f>
        <v>17056.100000000002</v>
      </c>
      <c r="N285" s="7">
        <f>International_Education_Costs!$G285+International_Education_Costs!$I285+International_Education_Costs!$J285+International_Education_Costs!$K285</f>
        <v>21590</v>
      </c>
    </row>
    <row r="286" spans="1:14" x14ac:dyDescent="0.3">
      <c r="A286" s="4" t="s">
        <v>21</v>
      </c>
      <c r="B286" s="4" t="s">
        <v>22</v>
      </c>
      <c r="C286" s="4" t="s">
        <v>23</v>
      </c>
      <c r="D286" s="4" t="s">
        <v>15</v>
      </c>
      <c r="E286" s="4" t="s">
        <v>75</v>
      </c>
      <c r="F286" s="4">
        <v>4</v>
      </c>
      <c r="G286" s="5">
        <v>45200</v>
      </c>
      <c r="H286" s="24">
        <v>73.5</v>
      </c>
      <c r="I286" s="16">
        <v>1800</v>
      </c>
      <c r="J286" s="5">
        <v>235</v>
      </c>
      <c r="K286" s="5">
        <v>600</v>
      </c>
      <c r="L286" s="5">
        <v>1.35</v>
      </c>
      <c r="M286" s="5">
        <f>(International_Education_Costs!$G286+International_Education_Costs!$I286+International_Education_Costs!$J286+International_Education_Costs!$K286)*International_Education_Costs!$L286</f>
        <v>64577.250000000007</v>
      </c>
      <c r="N286" s="5">
        <f>International_Education_Costs!$G286+International_Education_Costs!$I286+International_Education_Costs!$J286+International_Education_Costs!$K286</f>
        <v>47835</v>
      </c>
    </row>
    <row r="287" spans="1:14" x14ac:dyDescent="0.3">
      <c r="A287" s="6" t="s">
        <v>21</v>
      </c>
      <c r="B287" s="6" t="s">
        <v>22</v>
      </c>
      <c r="C287" s="6" t="s">
        <v>23</v>
      </c>
      <c r="D287" s="6" t="s">
        <v>15</v>
      </c>
      <c r="E287" s="6" t="s">
        <v>16</v>
      </c>
      <c r="F287" s="6">
        <v>2</v>
      </c>
      <c r="G287" s="7">
        <v>28500</v>
      </c>
      <c r="H287" s="25">
        <v>73.5</v>
      </c>
      <c r="I287" s="17">
        <v>1800</v>
      </c>
      <c r="J287" s="7">
        <v>235</v>
      </c>
      <c r="K287" s="7">
        <v>600</v>
      </c>
      <c r="L287" s="7">
        <v>1.35</v>
      </c>
      <c r="M287" s="7">
        <f>(International_Education_Costs!$G287+International_Education_Costs!$I287+International_Education_Costs!$J287+International_Education_Costs!$K287)*International_Education_Costs!$L287</f>
        <v>42032.25</v>
      </c>
      <c r="N287" s="7">
        <f>International_Education_Costs!$G287+International_Education_Costs!$I287+International_Education_Costs!$J287+International_Education_Costs!$K287</f>
        <v>31135</v>
      </c>
    </row>
    <row r="288" spans="1:14" x14ac:dyDescent="0.3">
      <c r="A288" s="4" t="s">
        <v>21</v>
      </c>
      <c r="B288" s="4" t="s">
        <v>176</v>
      </c>
      <c r="C288" s="4" t="s">
        <v>177</v>
      </c>
      <c r="D288" s="4" t="s">
        <v>15</v>
      </c>
      <c r="E288" s="4" t="s">
        <v>75</v>
      </c>
      <c r="F288" s="4">
        <v>4</v>
      </c>
      <c r="G288" s="5">
        <v>43800</v>
      </c>
      <c r="H288" s="24">
        <v>71.2</v>
      </c>
      <c r="I288" s="16">
        <v>1900</v>
      </c>
      <c r="J288" s="5">
        <v>235</v>
      </c>
      <c r="K288" s="5">
        <v>600</v>
      </c>
      <c r="L288" s="5">
        <v>1.35</v>
      </c>
      <c r="M288" s="5">
        <f>(International_Education_Costs!$G288+International_Education_Costs!$I288+International_Education_Costs!$J288+International_Education_Costs!$K288)*International_Education_Costs!$L288</f>
        <v>62822.250000000007</v>
      </c>
      <c r="N288" s="5">
        <f>International_Education_Costs!$G288+International_Education_Costs!$I288+International_Education_Costs!$J288+International_Education_Costs!$K288</f>
        <v>46535</v>
      </c>
    </row>
    <row r="289" spans="1:14" x14ac:dyDescent="0.3">
      <c r="A289" s="6" t="s">
        <v>21</v>
      </c>
      <c r="B289" s="6" t="s">
        <v>176</v>
      </c>
      <c r="C289" s="6" t="s">
        <v>177</v>
      </c>
      <c r="D289" s="6" t="s">
        <v>15</v>
      </c>
      <c r="E289" s="6" t="s">
        <v>16</v>
      </c>
      <c r="F289" s="6">
        <v>2</v>
      </c>
      <c r="G289" s="7">
        <v>27900</v>
      </c>
      <c r="H289" s="25">
        <v>71.2</v>
      </c>
      <c r="I289" s="17">
        <v>1900</v>
      </c>
      <c r="J289" s="7">
        <v>235</v>
      </c>
      <c r="K289" s="7">
        <v>600</v>
      </c>
      <c r="L289" s="7">
        <v>1.35</v>
      </c>
      <c r="M289" s="7">
        <f>(International_Education_Costs!$G289+International_Education_Costs!$I289+International_Education_Costs!$J289+International_Education_Costs!$K289)*International_Education_Costs!$L289</f>
        <v>41357.25</v>
      </c>
      <c r="N289" s="7">
        <f>International_Education_Costs!$G289+International_Education_Costs!$I289+International_Education_Costs!$J289+International_Education_Costs!$K289</f>
        <v>30635</v>
      </c>
    </row>
    <row r="290" spans="1:14" x14ac:dyDescent="0.3">
      <c r="A290" s="4" t="s">
        <v>21</v>
      </c>
      <c r="B290" s="4" t="s">
        <v>597</v>
      </c>
      <c r="C290" s="4" t="s">
        <v>598</v>
      </c>
      <c r="D290" s="4" t="s">
        <v>15</v>
      </c>
      <c r="E290" s="4" t="s">
        <v>75</v>
      </c>
      <c r="F290" s="4">
        <v>4</v>
      </c>
      <c r="G290" s="5">
        <v>41500</v>
      </c>
      <c r="H290" s="24">
        <v>65.8</v>
      </c>
      <c r="I290" s="16">
        <v>1500</v>
      </c>
      <c r="J290" s="5">
        <v>235</v>
      </c>
      <c r="K290" s="5">
        <v>600</v>
      </c>
      <c r="L290" s="5">
        <v>1.35</v>
      </c>
      <c r="M290" s="5">
        <f>(International_Education_Costs!$G290+International_Education_Costs!$I290+International_Education_Costs!$J290+International_Education_Costs!$K290)*International_Education_Costs!$L290</f>
        <v>59177.250000000007</v>
      </c>
      <c r="N290" s="5">
        <f>International_Education_Costs!$G290+International_Education_Costs!$I290+International_Education_Costs!$J290+International_Education_Costs!$K290</f>
        <v>43835</v>
      </c>
    </row>
    <row r="291" spans="1:14" x14ac:dyDescent="0.3">
      <c r="A291" s="6" t="s">
        <v>21</v>
      </c>
      <c r="B291" s="6" t="s">
        <v>597</v>
      </c>
      <c r="C291" s="6" t="s">
        <v>598</v>
      </c>
      <c r="D291" s="6" t="s">
        <v>15</v>
      </c>
      <c r="E291" s="6" t="s">
        <v>16</v>
      </c>
      <c r="F291" s="6">
        <v>2</v>
      </c>
      <c r="G291" s="7">
        <v>26800</v>
      </c>
      <c r="H291" s="25">
        <v>65.8</v>
      </c>
      <c r="I291" s="17">
        <v>1500</v>
      </c>
      <c r="J291" s="7">
        <v>235</v>
      </c>
      <c r="K291" s="7">
        <v>600</v>
      </c>
      <c r="L291" s="7">
        <v>1.35</v>
      </c>
      <c r="M291" s="7">
        <f>(International_Education_Costs!$G291+International_Education_Costs!$I291+International_Education_Costs!$J291+International_Education_Costs!$K291)*International_Education_Costs!$L291</f>
        <v>39332.25</v>
      </c>
      <c r="N291" s="7">
        <f>International_Education_Costs!$G291+International_Education_Costs!$I291+International_Education_Costs!$J291+International_Education_Costs!$K291</f>
        <v>29135</v>
      </c>
    </row>
    <row r="292" spans="1:14" x14ac:dyDescent="0.3">
      <c r="A292" s="4" t="s">
        <v>21</v>
      </c>
      <c r="B292" s="4" t="s">
        <v>139</v>
      </c>
      <c r="C292" s="4" t="s">
        <v>140</v>
      </c>
      <c r="D292" s="4" t="s">
        <v>15</v>
      </c>
      <c r="E292" s="4" t="s">
        <v>75</v>
      </c>
      <c r="F292" s="4">
        <v>4</v>
      </c>
      <c r="G292" s="5">
        <v>40900</v>
      </c>
      <c r="H292" s="24">
        <v>62.4</v>
      </c>
      <c r="I292" s="16">
        <v>1300</v>
      </c>
      <c r="J292" s="5">
        <v>235</v>
      </c>
      <c r="K292" s="5">
        <v>600</v>
      </c>
      <c r="L292" s="5">
        <v>1.35</v>
      </c>
      <c r="M292" s="5">
        <f>(International_Education_Costs!$G292+International_Education_Costs!$I292+International_Education_Costs!$J292+International_Education_Costs!$K292)*International_Education_Costs!$L292</f>
        <v>58097.250000000007</v>
      </c>
      <c r="N292" s="5">
        <f>International_Education_Costs!$G292+International_Education_Costs!$I292+International_Education_Costs!$J292+International_Education_Costs!$K292</f>
        <v>43035</v>
      </c>
    </row>
    <row r="293" spans="1:14" x14ac:dyDescent="0.3">
      <c r="A293" s="6" t="s">
        <v>21</v>
      </c>
      <c r="B293" s="6" t="s">
        <v>139</v>
      </c>
      <c r="C293" s="6" t="s">
        <v>140</v>
      </c>
      <c r="D293" s="6" t="s">
        <v>15</v>
      </c>
      <c r="E293" s="6" t="s">
        <v>16</v>
      </c>
      <c r="F293" s="6">
        <v>2</v>
      </c>
      <c r="G293" s="7">
        <v>26200</v>
      </c>
      <c r="H293" s="25">
        <v>62.4</v>
      </c>
      <c r="I293" s="17">
        <v>1300</v>
      </c>
      <c r="J293" s="7">
        <v>235</v>
      </c>
      <c r="K293" s="7">
        <v>600</v>
      </c>
      <c r="L293" s="7">
        <v>1.35</v>
      </c>
      <c r="M293" s="7">
        <f>(International_Education_Costs!$G293+International_Education_Costs!$I293+International_Education_Costs!$J293+International_Education_Costs!$K293)*International_Education_Costs!$L293</f>
        <v>38252.25</v>
      </c>
      <c r="N293" s="7">
        <f>International_Education_Costs!$G293+International_Education_Costs!$I293+International_Education_Costs!$J293+International_Education_Costs!$K293</f>
        <v>28335</v>
      </c>
    </row>
    <row r="294" spans="1:14" x14ac:dyDescent="0.3">
      <c r="A294" s="4" t="s">
        <v>21</v>
      </c>
      <c r="B294" s="4" t="s">
        <v>597</v>
      </c>
      <c r="C294" s="4" t="s">
        <v>599</v>
      </c>
      <c r="D294" s="4" t="s">
        <v>15</v>
      </c>
      <c r="E294" s="4" t="s">
        <v>75</v>
      </c>
      <c r="F294" s="4">
        <v>4</v>
      </c>
      <c r="G294" s="5">
        <v>39500</v>
      </c>
      <c r="H294" s="24">
        <v>65.8</v>
      </c>
      <c r="I294" s="16">
        <v>1400</v>
      </c>
      <c r="J294" s="5">
        <v>235</v>
      </c>
      <c r="K294" s="5">
        <v>600</v>
      </c>
      <c r="L294" s="5">
        <v>1.35</v>
      </c>
      <c r="M294" s="5">
        <f>(International_Education_Costs!$G294+International_Education_Costs!$I294+International_Education_Costs!$J294+International_Education_Costs!$K294)*International_Education_Costs!$L294</f>
        <v>56342.250000000007</v>
      </c>
      <c r="N294" s="5">
        <f>International_Education_Costs!$G294+International_Education_Costs!$I294+International_Education_Costs!$J294+International_Education_Costs!$K294</f>
        <v>41735</v>
      </c>
    </row>
    <row r="295" spans="1:14" x14ac:dyDescent="0.3">
      <c r="A295" s="6" t="s">
        <v>21</v>
      </c>
      <c r="B295" s="6" t="s">
        <v>597</v>
      </c>
      <c r="C295" s="6" t="s">
        <v>599</v>
      </c>
      <c r="D295" s="6" t="s">
        <v>15</v>
      </c>
      <c r="E295" s="6" t="s">
        <v>16</v>
      </c>
      <c r="F295" s="6">
        <v>2</v>
      </c>
      <c r="G295" s="7">
        <v>25800</v>
      </c>
      <c r="H295" s="25">
        <v>65.8</v>
      </c>
      <c r="I295" s="17">
        <v>1400</v>
      </c>
      <c r="J295" s="7">
        <v>235</v>
      </c>
      <c r="K295" s="7">
        <v>600</v>
      </c>
      <c r="L295" s="7">
        <v>1.35</v>
      </c>
      <c r="M295" s="7">
        <f>(International_Education_Costs!$G295+International_Education_Costs!$I295+International_Education_Costs!$J295+International_Education_Costs!$K295)*International_Education_Costs!$L295</f>
        <v>37847.25</v>
      </c>
      <c r="N295" s="7">
        <f>International_Education_Costs!$G295+International_Education_Costs!$I295+International_Education_Costs!$J295+International_Education_Costs!$K295</f>
        <v>28035</v>
      </c>
    </row>
    <row r="296" spans="1:14" x14ac:dyDescent="0.3">
      <c r="A296" s="4" t="s">
        <v>21</v>
      </c>
      <c r="B296" s="4" t="s">
        <v>152</v>
      </c>
      <c r="C296" s="4" t="s">
        <v>153</v>
      </c>
      <c r="D296" s="4" t="s">
        <v>15</v>
      </c>
      <c r="E296" s="4" t="s">
        <v>75</v>
      </c>
      <c r="F296" s="4">
        <v>4</v>
      </c>
      <c r="G296" s="5">
        <v>38200</v>
      </c>
      <c r="H296" s="24">
        <v>61.9</v>
      </c>
      <c r="I296" s="16">
        <v>1200</v>
      </c>
      <c r="J296" s="5">
        <v>235</v>
      </c>
      <c r="K296" s="5">
        <v>600</v>
      </c>
      <c r="L296" s="5">
        <v>1.35</v>
      </c>
      <c r="M296" s="5">
        <f>(International_Education_Costs!$G296+International_Education_Costs!$I296+International_Education_Costs!$J296+International_Education_Costs!$K296)*International_Education_Costs!$L296</f>
        <v>54317.25</v>
      </c>
      <c r="N296" s="5">
        <f>International_Education_Costs!$G296+International_Education_Costs!$I296+International_Education_Costs!$J296+International_Education_Costs!$K296</f>
        <v>40235</v>
      </c>
    </row>
    <row r="297" spans="1:14" x14ac:dyDescent="0.3">
      <c r="A297" s="6" t="s">
        <v>21</v>
      </c>
      <c r="B297" s="6" t="s">
        <v>152</v>
      </c>
      <c r="C297" s="6" t="s">
        <v>153</v>
      </c>
      <c r="D297" s="6" t="s">
        <v>15</v>
      </c>
      <c r="E297" s="6" t="s">
        <v>16</v>
      </c>
      <c r="F297" s="6">
        <v>2</v>
      </c>
      <c r="G297" s="7">
        <v>24900</v>
      </c>
      <c r="H297" s="25">
        <v>61.9</v>
      </c>
      <c r="I297" s="17">
        <v>1200</v>
      </c>
      <c r="J297" s="7">
        <v>235</v>
      </c>
      <c r="K297" s="7">
        <v>600</v>
      </c>
      <c r="L297" s="7">
        <v>1.35</v>
      </c>
      <c r="M297" s="7">
        <f>(International_Education_Costs!$G297+International_Education_Costs!$I297+International_Education_Costs!$J297+International_Education_Costs!$K297)*International_Education_Costs!$L297</f>
        <v>36362.25</v>
      </c>
      <c r="N297" s="7">
        <f>International_Education_Costs!$G297+International_Education_Costs!$I297+International_Education_Costs!$J297+International_Education_Costs!$K297</f>
        <v>26935</v>
      </c>
    </row>
    <row r="298" spans="1:14" x14ac:dyDescent="0.3">
      <c r="A298" s="4" t="s">
        <v>21</v>
      </c>
      <c r="B298" s="4" t="s">
        <v>100</v>
      </c>
      <c r="C298" s="4" t="s">
        <v>101</v>
      </c>
      <c r="D298" s="4" t="s">
        <v>15</v>
      </c>
      <c r="E298" s="4" t="s">
        <v>75</v>
      </c>
      <c r="F298" s="4">
        <v>4</v>
      </c>
      <c r="G298" s="5">
        <v>37800</v>
      </c>
      <c r="H298" s="24">
        <v>63.5</v>
      </c>
      <c r="I298" s="16">
        <v>1400</v>
      </c>
      <c r="J298" s="5">
        <v>235</v>
      </c>
      <c r="K298" s="5">
        <v>600</v>
      </c>
      <c r="L298" s="5">
        <v>1.35</v>
      </c>
      <c r="M298" s="5">
        <f>(International_Education_Costs!$G298+International_Education_Costs!$I298+International_Education_Costs!$J298+International_Education_Costs!$K298)*International_Education_Costs!$L298</f>
        <v>54047.25</v>
      </c>
      <c r="N298" s="5">
        <f>International_Education_Costs!$G298+International_Education_Costs!$I298+International_Education_Costs!$J298+International_Education_Costs!$K298</f>
        <v>40035</v>
      </c>
    </row>
    <row r="299" spans="1:14" x14ac:dyDescent="0.3">
      <c r="A299" s="6" t="s">
        <v>21</v>
      </c>
      <c r="B299" s="6" t="s">
        <v>100</v>
      </c>
      <c r="C299" s="6" t="s">
        <v>101</v>
      </c>
      <c r="D299" s="6" t="s">
        <v>15</v>
      </c>
      <c r="E299" s="6" t="s">
        <v>16</v>
      </c>
      <c r="F299" s="6">
        <v>2</v>
      </c>
      <c r="G299" s="7">
        <v>24500</v>
      </c>
      <c r="H299" s="25">
        <v>63.5</v>
      </c>
      <c r="I299" s="17">
        <v>1400</v>
      </c>
      <c r="J299" s="7">
        <v>235</v>
      </c>
      <c r="K299" s="7">
        <v>600</v>
      </c>
      <c r="L299" s="7">
        <v>1.35</v>
      </c>
      <c r="M299" s="7">
        <f>(International_Education_Costs!$G299+International_Education_Costs!$I299+International_Education_Costs!$J299+International_Education_Costs!$K299)*International_Education_Costs!$L299</f>
        <v>36092.25</v>
      </c>
      <c r="N299" s="7">
        <f>International_Education_Costs!$G299+International_Education_Costs!$I299+International_Education_Costs!$J299+International_Education_Costs!$K299</f>
        <v>26735</v>
      </c>
    </row>
    <row r="300" spans="1:14" x14ac:dyDescent="0.3">
      <c r="A300" s="4" t="s">
        <v>21</v>
      </c>
      <c r="B300" s="4" t="s">
        <v>334</v>
      </c>
      <c r="C300" s="4" t="s">
        <v>335</v>
      </c>
      <c r="D300" s="4" t="s">
        <v>15</v>
      </c>
      <c r="E300" s="4" t="s">
        <v>75</v>
      </c>
      <c r="F300" s="4">
        <v>4</v>
      </c>
      <c r="G300" s="5">
        <v>37200</v>
      </c>
      <c r="H300" s="24">
        <v>62.8</v>
      </c>
      <c r="I300" s="16">
        <v>1300</v>
      </c>
      <c r="J300" s="5">
        <v>235</v>
      </c>
      <c r="K300" s="5">
        <v>600</v>
      </c>
      <c r="L300" s="5">
        <v>1.35</v>
      </c>
      <c r="M300" s="5">
        <f>(International_Education_Costs!$G300+International_Education_Costs!$I300+International_Education_Costs!$J300+International_Education_Costs!$K300)*International_Education_Costs!$L300</f>
        <v>53102.25</v>
      </c>
      <c r="N300" s="5">
        <f>International_Education_Costs!$G300+International_Education_Costs!$I300+International_Education_Costs!$J300+International_Education_Costs!$K300</f>
        <v>39335</v>
      </c>
    </row>
    <row r="301" spans="1:14" x14ac:dyDescent="0.3">
      <c r="A301" s="6" t="s">
        <v>21</v>
      </c>
      <c r="B301" s="6" t="s">
        <v>334</v>
      </c>
      <c r="C301" s="6" t="s">
        <v>335</v>
      </c>
      <c r="D301" s="6" t="s">
        <v>15</v>
      </c>
      <c r="E301" s="6" t="s">
        <v>16</v>
      </c>
      <c r="F301" s="6">
        <v>2</v>
      </c>
      <c r="G301" s="7">
        <v>24100</v>
      </c>
      <c r="H301" s="25">
        <v>62.8</v>
      </c>
      <c r="I301" s="17">
        <v>1300</v>
      </c>
      <c r="J301" s="7">
        <v>235</v>
      </c>
      <c r="K301" s="7">
        <v>600</v>
      </c>
      <c r="L301" s="7">
        <v>1.35</v>
      </c>
      <c r="M301" s="7">
        <f>(International_Education_Costs!$G301+International_Education_Costs!$I301+International_Education_Costs!$J301+International_Education_Costs!$K301)*International_Education_Costs!$L301</f>
        <v>35417.25</v>
      </c>
      <c r="N301" s="7">
        <f>International_Education_Costs!$G301+International_Education_Costs!$I301+International_Education_Costs!$J301+International_Education_Costs!$K301</f>
        <v>26235</v>
      </c>
    </row>
    <row r="302" spans="1:14" x14ac:dyDescent="0.3">
      <c r="A302" s="4" t="s">
        <v>21</v>
      </c>
      <c r="B302" s="4" t="s">
        <v>310</v>
      </c>
      <c r="C302" s="4" t="s">
        <v>311</v>
      </c>
      <c r="D302" s="4" t="s">
        <v>15</v>
      </c>
      <c r="E302" s="4" t="s">
        <v>75</v>
      </c>
      <c r="F302" s="4">
        <v>4</v>
      </c>
      <c r="G302" s="5">
        <v>36500</v>
      </c>
      <c r="H302" s="24">
        <v>64.2</v>
      </c>
      <c r="I302" s="16">
        <v>1250</v>
      </c>
      <c r="J302" s="5">
        <v>235</v>
      </c>
      <c r="K302" s="5">
        <v>600</v>
      </c>
      <c r="L302" s="5">
        <v>1.35</v>
      </c>
      <c r="M302" s="5">
        <f>(International_Education_Costs!$G302+International_Education_Costs!$I302+International_Education_Costs!$J302+International_Education_Costs!$K302)*International_Education_Costs!$L302</f>
        <v>52089.75</v>
      </c>
      <c r="N302" s="5">
        <f>International_Education_Costs!$G302+International_Education_Costs!$I302+International_Education_Costs!$J302+International_Education_Costs!$K302</f>
        <v>38585</v>
      </c>
    </row>
    <row r="303" spans="1:14" x14ac:dyDescent="0.3">
      <c r="A303" s="6" t="s">
        <v>21</v>
      </c>
      <c r="B303" s="6" t="s">
        <v>310</v>
      </c>
      <c r="C303" s="6" t="s">
        <v>311</v>
      </c>
      <c r="D303" s="6" t="s">
        <v>15</v>
      </c>
      <c r="E303" s="6" t="s">
        <v>16</v>
      </c>
      <c r="F303" s="6">
        <v>2</v>
      </c>
      <c r="G303" s="7">
        <v>23800</v>
      </c>
      <c r="H303" s="25">
        <v>64.2</v>
      </c>
      <c r="I303" s="17">
        <v>1250</v>
      </c>
      <c r="J303" s="7">
        <v>235</v>
      </c>
      <c r="K303" s="7">
        <v>600</v>
      </c>
      <c r="L303" s="7">
        <v>1.35</v>
      </c>
      <c r="M303" s="7">
        <f>(International_Education_Costs!$G303+International_Education_Costs!$I303+International_Education_Costs!$J303+International_Education_Costs!$K303)*International_Education_Costs!$L303</f>
        <v>34944.75</v>
      </c>
      <c r="N303" s="7">
        <f>International_Education_Costs!$G303+International_Education_Costs!$I303+International_Education_Costs!$J303+International_Education_Costs!$K303</f>
        <v>25885</v>
      </c>
    </row>
    <row r="304" spans="1:14" x14ac:dyDescent="0.3">
      <c r="A304" s="4" t="s">
        <v>21</v>
      </c>
      <c r="B304" s="4" t="s">
        <v>18</v>
      </c>
      <c r="C304" s="4" t="s">
        <v>313</v>
      </c>
      <c r="D304" s="4" t="s">
        <v>15</v>
      </c>
      <c r="E304" s="4" t="s">
        <v>75</v>
      </c>
      <c r="F304" s="4">
        <v>4</v>
      </c>
      <c r="G304" s="5">
        <v>35900</v>
      </c>
      <c r="H304" s="24">
        <v>61.5</v>
      </c>
      <c r="I304" s="16">
        <v>1200</v>
      </c>
      <c r="J304" s="5">
        <v>235</v>
      </c>
      <c r="K304" s="5">
        <v>600</v>
      </c>
      <c r="L304" s="5">
        <v>1.35</v>
      </c>
      <c r="M304" s="5">
        <f>(International_Education_Costs!$G304+International_Education_Costs!$I304+International_Education_Costs!$J304+International_Education_Costs!$K304)*International_Education_Costs!$L304</f>
        <v>51212.25</v>
      </c>
      <c r="N304" s="5">
        <f>International_Education_Costs!$G304+International_Education_Costs!$I304+International_Education_Costs!$J304+International_Education_Costs!$K304</f>
        <v>37935</v>
      </c>
    </row>
    <row r="305" spans="1:14" x14ac:dyDescent="0.3">
      <c r="A305" s="6" t="s">
        <v>21</v>
      </c>
      <c r="B305" s="6" t="s">
        <v>18</v>
      </c>
      <c r="C305" s="6" t="s">
        <v>313</v>
      </c>
      <c r="D305" s="6" t="s">
        <v>15</v>
      </c>
      <c r="E305" s="6" t="s">
        <v>16</v>
      </c>
      <c r="F305" s="6">
        <v>2</v>
      </c>
      <c r="G305" s="7">
        <v>23500</v>
      </c>
      <c r="H305" s="25">
        <v>61.5</v>
      </c>
      <c r="I305" s="17">
        <v>1200</v>
      </c>
      <c r="J305" s="7">
        <v>235</v>
      </c>
      <c r="K305" s="7">
        <v>600</v>
      </c>
      <c r="L305" s="7">
        <v>1.35</v>
      </c>
      <c r="M305" s="7">
        <f>(International_Education_Costs!$G305+International_Education_Costs!$I305+International_Education_Costs!$J305+International_Education_Costs!$K305)*International_Education_Costs!$L305</f>
        <v>34472.25</v>
      </c>
      <c r="N305" s="7">
        <f>International_Education_Costs!$G305+International_Education_Costs!$I305+International_Education_Costs!$J305+International_Education_Costs!$K305</f>
        <v>25535</v>
      </c>
    </row>
    <row r="306" spans="1:14" x14ac:dyDescent="0.3">
      <c r="A306" s="4" t="s">
        <v>21</v>
      </c>
      <c r="B306" s="4" t="s">
        <v>595</v>
      </c>
      <c r="C306" s="4" t="s">
        <v>600</v>
      </c>
      <c r="D306" s="4" t="s">
        <v>15</v>
      </c>
      <c r="E306" s="4" t="s">
        <v>75</v>
      </c>
      <c r="F306" s="4">
        <v>4</v>
      </c>
      <c r="G306" s="5">
        <v>35400</v>
      </c>
      <c r="H306" s="24">
        <v>62.1</v>
      </c>
      <c r="I306" s="16">
        <v>1300</v>
      </c>
      <c r="J306" s="5">
        <v>235</v>
      </c>
      <c r="K306" s="5">
        <v>600</v>
      </c>
      <c r="L306" s="5">
        <v>1.35</v>
      </c>
      <c r="M306" s="5">
        <f>(International_Education_Costs!$G306+International_Education_Costs!$I306+International_Education_Costs!$J306+International_Education_Costs!$K306)*International_Education_Costs!$L306</f>
        <v>50672.25</v>
      </c>
      <c r="N306" s="5">
        <f>International_Education_Costs!$G306+International_Education_Costs!$I306+International_Education_Costs!$J306+International_Education_Costs!$K306</f>
        <v>37535</v>
      </c>
    </row>
    <row r="307" spans="1:14" x14ac:dyDescent="0.3">
      <c r="A307" s="6" t="s">
        <v>21</v>
      </c>
      <c r="B307" s="6" t="s">
        <v>595</v>
      </c>
      <c r="C307" s="6" t="s">
        <v>600</v>
      </c>
      <c r="D307" s="6" t="s">
        <v>15</v>
      </c>
      <c r="E307" s="6" t="s">
        <v>16</v>
      </c>
      <c r="F307" s="6">
        <v>2</v>
      </c>
      <c r="G307" s="7">
        <v>23200</v>
      </c>
      <c r="H307" s="25">
        <v>62.1</v>
      </c>
      <c r="I307" s="17">
        <v>1300</v>
      </c>
      <c r="J307" s="7">
        <v>235</v>
      </c>
      <c r="K307" s="7">
        <v>600</v>
      </c>
      <c r="L307" s="7">
        <v>1.35</v>
      </c>
      <c r="M307" s="7">
        <f>(International_Education_Costs!$G307+International_Education_Costs!$I307+International_Education_Costs!$J307+International_Education_Costs!$K307)*International_Education_Costs!$L307</f>
        <v>34202.25</v>
      </c>
      <c r="N307" s="7">
        <f>International_Education_Costs!$G307+International_Education_Costs!$I307+International_Education_Costs!$J307+International_Education_Costs!$K307</f>
        <v>25335</v>
      </c>
    </row>
    <row r="308" spans="1:14" x14ac:dyDescent="0.3">
      <c r="A308" s="4" t="s">
        <v>21</v>
      </c>
      <c r="B308" s="4" t="s">
        <v>316</v>
      </c>
      <c r="C308" s="4" t="s">
        <v>317</v>
      </c>
      <c r="D308" s="4" t="s">
        <v>15</v>
      </c>
      <c r="E308" s="4" t="s">
        <v>75</v>
      </c>
      <c r="F308" s="4">
        <v>4</v>
      </c>
      <c r="G308" s="5">
        <v>34800</v>
      </c>
      <c r="H308" s="24">
        <v>64.8</v>
      </c>
      <c r="I308" s="16">
        <v>1400</v>
      </c>
      <c r="J308" s="5">
        <v>235</v>
      </c>
      <c r="K308" s="5">
        <v>600</v>
      </c>
      <c r="L308" s="5">
        <v>1.35</v>
      </c>
      <c r="M308" s="5">
        <f>(International_Education_Costs!$G308+International_Education_Costs!$I308+International_Education_Costs!$J308+International_Education_Costs!$K308)*International_Education_Costs!$L308</f>
        <v>49997.25</v>
      </c>
      <c r="N308" s="5">
        <f>International_Education_Costs!$G308+International_Education_Costs!$I308+International_Education_Costs!$J308+International_Education_Costs!$K308</f>
        <v>37035</v>
      </c>
    </row>
    <row r="309" spans="1:14" x14ac:dyDescent="0.3">
      <c r="A309" s="6" t="s">
        <v>21</v>
      </c>
      <c r="B309" s="6" t="s">
        <v>316</v>
      </c>
      <c r="C309" s="6" t="s">
        <v>317</v>
      </c>
      <c r="D309" s="6" t="s">
        <v>15</v>
      </c>
      <c r="E309" s="6" t="s">
        <v>16</v>
      </c>
      <c r="F309" s="6">
        <v>2</v>
      </c>
      <c r="G309" s="7">
        <v>22900</v>
      </c>
      <c r="H309" s="25">
        <v>64.8</v>
      </c>
      <c r="I309" s="17">
        <v>1400</v>
      </c>
      <c r="J309" s="7">
        <v>235</v>
      </c>
      <c r="K309" s="7">
        <v>600</v>
      </c>
      <c r="L309" s="7">
        <v>1.35</v>
      </c>
      <c r="M309" s="7">
        <f>(International_Education_Costs!$G309+International_Education_Costs!$I309+International_Education_Costs!$J309+International_Education_Costs!$K309)*International_Education_Costs!$L309</f>
        <v>33932.25</v>
      </c>
      <c r="N309" s="7">
        <f>International_Education_Costs!$G309+International_Education_Costs!$I309+International_Education_Costs!$J309+International_Education_Costs!$K309</f>
        <v>25135</v>
      </c>
    </row>
    <row r="310" spans="1:14" x14ac:dyDescent="0.3">
      <c r="A310" s="4" t="s">
        <v>21</v>
      </c>
      <c r="B310" s="4" t="s">
        <v>314</v>
      </c>
      <c r="C310" s="4" t="s">
        <v>315</v>
      </c>
      <c r="D310" s="4" t="s">
        <v>15</v>
      </c>
      <c r="E310" s="4" t="s">
        <v>75</v>
      </c>
      <c r="F310" s="4">
        <v>4</v>
      </c>
      <c r="G310" s="5">
        <v>34200</v>
      </c>
      <c r="H310" s="24">
        <v>61.2</v>
      </c>
      <c r="I310" s="16">
        <v>1200</v>
      </c>
      <c r="J310" s="5">
        <v>235</v>
      </c>
      <c r="K310" s="5">
        <v>600</v>
      </c>
      <c r="L310" s="5">
        <v>1.35</v>
      </c>
      <c r="M310" s="5">
        <f>(International_Education_Costs!$G310+International_Education_Costs!$I310+International_Education_Costs!$J310+International_Education_Costs!$K310)*International_Education_Costs!$L310</f>
        <v>48917.25</v>
      </c>
      <c r="N310" s="5">
        <f>International_Education_Costs!$G310+International_Education_Costs!$I310+International_Education_Costs!$J310+International_Education_Costs!$K310</f>
        <v>36235</v>
      </c>
    </row>
    <row r="311" spans="1:14" x14ac:dyDescent="0.3">
      <c r="A311" s="6" t="s">
        <v>21</v>
      </c>
      <c r="B311" s="6" t="s">
        <v>314</v>
      </c>
      <c r="C311" s="6" t="s">
        <v>315</v>
      </c>
      <c r="D311" s="6" t="s">
        <v>15</v>
      </c>
      <c r="E311" s="6" t="s">
        <v>16</v>
      </c>
      <c r="F311" s="6">
        <v>2</v>
      </c>
      <c r="G311" s="7">
        <v>22600</v>
      </c>
      <c r="H311" s="25">
        <v>61.2</v>
      </c>
      <c r="I311" s="17">
        <v>1200</v>
      </c>
      <c r="J311" s="7">
        <v>235</v>
      </c>
      <c r="K311" s="7">
        <v>600</v>
      </c>
      <c r="L311" s="7">
        <v>1.35</v>
      </c>
      <c r="M311" s="7">
        <f>(International_Education_Costs!$G311+International_Education_Costs!$I311+International_Education_Costs!$J311+International_Education_Costs!$K311)*International_Education_Costs!$L311</f>
        <v>33257.25</v>
      </c>
      <c r="N311" s="7">
        <f>International_Education_Costs!$G311+International_Education_Costs!$I311+International_Education_Costs!$J311+International_Education_Costs!$K311</f>
        <v>24635</v>
      </c>
    </row>
    <row r="312" spans="1:14" x14ac:dyDescent="0.3">
      <c r="A312" s="4" t="s">
        <v>21</v>
      </c>
      <c r="B312" s="4" t="s">
        <v>320</v>
      </c>
      <c r="C312" s="4" t="s">
        <v>321</v>
      </c>
      <c r="D312" s="4" t="s">
        <v>15</v>
      </c>
      <c r="E312" s="4" t="s">
        <v>75</v>
      </c>
      <c r="F312" s="4">
        <v>4</v>
      </c>
      <c r="G312" s="5">
        <v>33600</v>
      </c>
      <c r="H312" s="24">
        <v>59.8</v>
      </c>
      <c r="I312" s="16">
        <v>1100</v>
      </c>
      <c r="J312" s="5">
        <v>235</v>
      </c>
      <c r="K312" s="5">
        <v>600</v>
      </c>
      <c r="L312" s="5">
        <v>1.35</v>
      </c>
      <c r="M312" s="5">
        <f>(International_Education_Costs!$G312+International_Education_Costs!$I312+International_Education_Costs!$J312+International_Education_Costs!$K312)*International_Education_Costs!$L312</f>
        <v>47972.25</v>
      </c>
      <c r="N312" s="5">
        <f>International_Education_Costs!$G312+International_Education_Costs!$I312+International_Education_Costs!$J312+International_Education_Costs!$K312</f>
        <v>35535</v>
      </c>
    </row>
    <row r="313" spans="1:14" x14ac:dyDescent="0.3">
      <c r="A313" s="6" t="s">
        <v>21</v>
      </c>
      <c r="B313" s="6" t="s">
        <v>320</v>
      </c>
      <c r="C313" s="6" t="s">
        <v>321</v>
      </c>
      <c r="D313" s="6" t="s">
        <v>15</v>
      </c>
      <c r="E313" s="6" t="s">
        <v>16</v>
      </c>
      <c r="F313" s="6">
        <v>2</v>
      </c>
      <c r="G313" s="7">
        <v>22300</v>
      </c>
      <c r="H313" s="25">
        <v>59.8</v>
      </c>
      <c r="I313" s="17">
        <v>1100</v>
      </c>
      <c r="J313" s="7">
        <v>235</v>
      </c>
      <c r="K313" s="7">
        <v>600</v>
      </c>
      <c r="L313" s="7">
        <v>1.35</v>
      </c>
      <c r="M313" s="7">
        <f>(International_Education_Costs!$G313+International_Education_Costs!$I313+International_Education_Costs!$J313+International_Education_Costs!$K313)*International_Education_Costs!$L313</f>
        <v>32717.250000000004</v>
      </c>
      <c r="N313" s="7">
        <f>International_Education_Costs!$G313+International_Education_Costs!$I313+International_Education_Costs!$J313+International_Education_Costs!$K313</f>
        <v>24235</v>
      </c>
    </row>
    <row r="314" spans="1:14" x14ac:dyDescent="0.3">
      <c r="A314" s="4" t="s">
        <v>21</v>
      </c>
      <c r="B314" s="4" t="s">
        <v>318</v>
      </c>
      <c r="C314" s="4" t="s">
        <v>319</v>
      </c>
      <c r="D314" s="4" t="s">
        <v>15</v>
      </c>
      <c r="E314" s="4" t="s">
        <v>75</v>
      </c>
      <c r="F314" s="4">
        <v>4</v>
      </c>
      <c r="G314" s="5">
        <v>33000</v>
      </c>
      <c r="H314" s="24">
        <v>58.5</v>
      </c>
      <c r="I314" s="16">
        <v>1000</v>
      </c>
      <c r="J314" s="5">
        <v>235</v>
      </c>
      <c r="K314" s="5">
        <v>600</v>
      </c>
      <c r="L314" s="5">
        <v>1.35</v>
      </c>
      <c r="M314" s="5">
        <f>(International_Education_Costs!$G314+International_Education_Costs!$I314+International_Education_Costs!$J314+International_Education_Costs!$K314)*International_Education_Costs!$L314</f>
        <v>47027.25</v>
      </c>
      <c r="N314" s="5">
        <f>International_Education_Costs!$G314+International_Education_Costs!$I314+International_Education_Costs!$J314+International_Education_Costs!$K314</f>
        <v>34835</v>
      </c>
    </row>
    <row r="315" spans="1:14" x14ac:dyDescent="0.3">
      <c r="A315" s="6" t="s">
        <v>21</v>
      </c>
      <c r="B315" s="6" t="s">
        <v>318</v>
      </c>
      <c r="C315" s="6" t="s">
        <v>319</v>
      </c>
      <c r="D315" s="6" t="s">
        <v>15</v>
      </c>
      <c r="E315" s="6" t="s">
        <v>16</v>
      </c>
      <c r="F315" s="6">
        <v>2</v>
      </c>
      <c r="G315" s="7">
        <v>22000</v>
      </c>
      <c r="H315" s="25">
        <v>58.5</v>
      </c>
      <c r="I315" s="17">
        <v>1000</v>
      </c>
      <c r="J315" s="7">
        <v>235</v>
      </c>
      <c r="K315" s="7">
        <v>600</v>
      </c>
      <c r="L315" s="7">
        <v>1.35</v>
      </c>
      <c r="M315" s="7">
        <f>(International_Education_Costs!$G315+International_Education_Costs!$I315+International_Education_Costs!$J315+International_Education_Costs!$K315)*International_Education_Costs!$L315</f>
        <v>32177.250000000004</v>
      </c>
      <c r="N315" s="7">
        <f>International_Education_Costs!$G315+International_Education_Costs!$I315+International_Education_Costs!$J315+International_Education_Costs!$K315</f>
        <v>23835</v>
      </c>
    </row>
    <row r="316" spans="1:14" x14ac:dyDescent="0.3">
      <c r="A316" s="4" t="s">
        <v>21</v>
      </c>
      <c r="B316" s="4" t="s">
        <v>326</v>
      </c>
      <c r="C316" s="4" t="s">
        <v>327</v>
      </c>
      <c r="D316" s="4" t="s">
        <v>15</v>
      </c>
      <c r="E316" s="4" t="s">
        <v>75</v>
      </c>
      <c r="F316" s="4">
        <v>4</v>
      </c>
      <c r="G316" s="5">
        <v>32400</v>
      </c>
      <c r="H316" s="24">
        <v>58.2</v>
      </c>
      <c r="I316" s="16">
        <v>950</v>
      </c>
      <c r="J316" s="5">
        <v>235</v>
      </c>
      <c r="K316" s="5">
        <v>600</v>
      </c>
      <c r="L316" s="5">
        <v>1.35</v>
      </c>
      <c r="M316" s="5">
        <f>(International_Education_Costs!$G316+International_Education_Costs!$I316+International_Education_Costs!$J316+International_Education_Costs!$K316)*International_Education_Costs!$L316</f>
        <v>46149.75</v>
      </c>
      <c r="N316" s="5">
        <f>International_Education_Costs!$G316+International_Education_Costs!$I316+International_Education_Costs!$J316+International_Education_Costs!$K316</f>
        <v>34185</v>
      </c>
    </row>
    <row r="317" spans="1:14" x14ac:dyDescent="0.3">
      <c r="A317" s="6" t="s">
        <v>21</v>
      </c>
      <c r="B317" s="6" t="s">
        <v>326</v>
      </c>
      <c r="C317" s="6" t="s">
        <v>327</v>
      </c>
      <c r="D317" s="6" t="s">
        <v>15</v>
      </c>
      <c r="E317" s="6" t="s">
        <v>16</v>
      </c>
      <c r="F317" s="6">
        <v>2</v>
      </c>
      <c r="G317" s="7">
        <v>21700</v>
      </c>
      <c r="H317" s="25">
        <v>58.2</v>
      </c>
      <c r="I317" s="17">
        <v>950</v>
      </c>
      <c r="J317" s="7">
        <v>235</v>
      </c>
      <c r="K317" s="7">
        <v>600</v>
      </c>
      <c r="L317" s="7">
        <v>1.35</v>
      </c>
      <c r="M317" s="7">
        <f>(International_Education_Costs!$G317+International_Education_Costs!$I317+International_Education_Costs!$J317+International_Education_Costs!$K317)*International_Education_Costs!$L317</f>
        <v>31704.750000000004</v>
      </c>
      <c r="N317" s="7">
        <f>International_Education_Costs!$G317+International_Education_Costs!$I317+International_Education_Costs!$J317+International_Education_Costs!$K317</f>
        <v>23485</v>
      </c>
    </row>
    <row r="318" spans="1:14" x14ac:dyDescent="0.3">
      <c r="A318" s="4" t="s">
        <v>21</v>
      </c>
      <c r="B318" s="4" t="s">
        <v>324</v>
      </c>
      <c r="C318" s="4" t="s">
        <v>325</v>
      </c>
      <c r="D318" s="4" t="s">
        <v>15</v>
      </c>
      <c r="E318" s="4" t="s">
        <v>75</v>
      </c>
      <c r="F318" s="4">
        <v>4</v>
      </c>
      <c r="G318" s="5">
        <v>31800</v>
      </c>
      <c r="H318" s="24">
        <v>57.9</v>
      </c>
      <c r="I318" s="16">
        <v>900</v>
      </c>
      <c r="J318" s="5">
        <v>235</v>
      </c>
      <c r="K318" s="5">
        <v>600</v>
      </c>
      <c r="L318" s="5">
        <v>1.35</v>
      </c>
      <c r="M318" s="5">
        <f>(International_Education_Costs!$G318+International_Education_Costs!$I318+International_Education_Costs!$J318+International_Education_Costs!$K318)*International_Education_Costs!$L318</f>
        <v>45272.25</v>
      </c>
      <c r="N318" s="5">
        <f>International_Education_Costs!$G318+International_Education_Costs!$I318+International_Education_Costs!$J318+International_Education_Costs!$K318</f>
        <v>33535</v>
      </c>
    </row>
    <row r="319" spans="1:14" x14ac:dyDescent="0.3">
      <c r="A319" s="6" t="s">
        <v>21</v>
      </c>
      <c r="B319" s="6" t="s">
        <v>324</v>
      </c>
      <c r="C319" s="6" t="s">
        <v>325</v>
      </c>
      <c r="D319" s="6" t="s">
        <v>15</v>
      </c>
      <c r="E319" s="6" t="s">
        <v>16</v>
      </c>
      <c r="F319" s="6">
        <v>2</v>
      </c>
      <c r="G319" s="7">
        <v>21400</v>
      </c>
      <c r="H319" s="25">
        <v>57.9</v>
      </c>
      <c r="I319" s="17">
        <v>900</v>
      </c>
      <c r="J319" s="7">
        <v>235</v>
      </c>
      <c r="K319" s="7">
        <v>600</v>
      </c>
      <c r="L319" s="7">
        <v>1.35</v>
      </c>
      <c r="M319" s="7">
        <f>(International_Education_Costs!$G319+International_Education_Costs!$I319+International_Education_Costs!$J319+International_Education_Costs!$K319)*International_Education_Costs!$L319</f>
        <v>31232.250000000004</v>
      </c>
      <c r="N319" s="7">
        <f>International_Education_Costs!$G319+International_Education_Costs!$I319+International_Education_Costs!$J319+International_Education_Costs!$K319</f>
        <v>23135</v>
      </c>
    </row>
    <row r="320" spans="1:14" x14ac:dyDescent="0.3">
      <c r="A320" s="4" t="s">
        <v>21</v>
      </c>
      <c r="B320" s="4" t="s">
        <v>322</v>
      </c>
      <c r="C320" s="4" t="s">
        <v>323</v>
      </c>
      <c r="D320" s="4" t="s">
        <v>15</v>
      </c>
      <c r="E320" s="4" t="s">
        <v>75</v>
      </c>
      <c r="F320" s="4">
        <v>4</v>
      </c>
      <c r="G320" s="5">
        <v>31200</v>
      </c>
      <c r="H320" s="24">
        <v>57.5</v>
      </c>
      <c r="I320" s="16">
        <v>900</v>
      </c>
      <c r="J320" s="5">
        <v>235</v>
      </c>
      <c r="K320" s="5">
        <v>600</v>
      </c>
      <c r="L320" s="5">
        <v>1.35</v>
      </c>
      <c r="M320" s="5">
        <f>(International_Education_Costs!$G320+International_Education_Costs!$I320+International_Education_Costs!$J320+International_Education_Costs!$K320)*International_Education_Costs!$L320</f>
        <v>44462.25</v>
      </c>
      <c r="N320" s="5">
        <f>International_Education_Costs!$G320+International_Education_Costs!$I320+International_Education_Costs!$J320+International_Education_Costs!$K320</f>
        <v>32935</v>
      </c>
    </row>
    <row r="321" spans="1:14" x14ac:dyDescent="0.3">
      <c r="A321" s="6" t="s">
        <v>21</v>
      </c>
      <c r="B321" s="6" t="s">
        <v>322</v>
      </c>
      <c r="C321" s="6" t="s">
        <v>323</v>
      </c>
      <c r="D321" s="6" t="s">
        <v>15</v>
      </c>
      <c r="E321" s="6" t="s">
        <v>16</v>
      </c>
      <c r="F321" s="6">
        <v>2</v>
      </c>
      <c r="G321" s="7">
        <v>21100</v>
      </c>
      <c r="H321" s="25">
        <v>57.5</v>
      </c>
      <c r="I321" s="17">
        <v>900</v>
      </c>
      <c r="J321" s="7">
        <v>235</v>
      </c>
      <c r="K321" s="7">
        <v>600</v>
      </c>
      <c r="L321" s="7">
        <v>1.35</v>
      </c>
      <c r="M321" s="7">
        <f>(International_Education_Costs!$G321+International_Education_Costs!$I321+International_Education_Costs!$J321+International_Education_Costs!$K321)*International_Education_Costs!$L321</f>
        <v>30827.250000000004</v>
      </c>
      <c r="N321" s="7">
        <f>International_Education_Costs!$G321+International_Education_Costs!$I321+International_Education_Costs!$J321+International_Education_Costs!$K321</f>
        <v>22835</v>
      </c>
    </row>
    <row r="322" spans="1:14" x14ac:dyDescent="0.3">
      <c r="A322" s="4" t="s">
        <v>21</v>
      </c>
      <c r="B322" s="4" t="s">
        <v>328</v>
      </c>
      <c r="C322" s="4" t="s">
        <v>601</v>
      </c>
      <c r="D322" s="4" t="s">
        <v>15</v>
      </c>
      <c r="E322" s="4" t="s">
        <v>75</v>
      </c>
      <c r="F322" s="4">
        <v>4</v>
      </c>
      <c r="G322" s="5">
        <v>30600</v>
      </c>
      <c r="H322" s="24">
        <v>56.8</v>
      </c>
      <c r="I322" s="16">
        <v>850</v>
      </c>
      <c r="J322" s="5">
        <v>235</v>
      </c>
      <c r="K322" s="5">
        <v>600</v>
      </c>
      <c r="L322" s="5">
        <v>1.35</v>
      </c>
      <c r="M322" s="5">
        <f>(International_Education_Costs!$G322+International_Education_Costs!$I322+International_Education_Costs!$J322+International_Education_Costs!$K322)*International_Education_Costs!$L322</f>
        <v>43584.75</v>
      </c>
      <c r="N322" s="5">
        <f>International_Education_Costs!$G322+International_Education_Costs!$I322+International_Education_Costs!$J322+International_Education_Costs!$K322</f>
        <v>32285</v>
      </c>
    </row>
    <row r="323" spans="1:14" x14ac:dyDescent="0.3">
      <c r="A323" s="6" t="s">
        <v>21</v>
      </c>
      <c r="B323" s="6" t="s">
        <v>328</v>
      </c>
      <c r="C323" s="6" t="s">
        <v>601</v>
      </c>
      <c r="D323" s="6" t="s">
        <v>15</v>
      </c>
      <c r="E323" s="6" t="s">
        <v>16</v>
      </c>
      <c r="F323" s="6">
        <v>2</v>
      </c>
      <c r="G323" s="7">
        <v>20800</v>
      </c>
      <c r="H323" s="25">
        <v>56.8</v>
      </c>
      <c r="I323" s="17">
        <v>850</v>
      </c>
      <c r="J323" s="7">
        <v>235</v>
      </c>
      <c r="K323" s="7">
        <v>600</v>
      </c>
      <c r="L323" s="7">
        <v>1.35</v>
      </c>
      <c r="M323" s="7">
        <f>(International_Education_Costs!$G323+International_Education_Costs!$I323+International_Education_Costs!$J323+International_Education_Costs!$K323)*International_Education_Costs!$L323</f>
        <v>30354.750000000004</v>
      </c>
      <c r="N323" s="7">
        <f>International_Education_Costs!$G323+International_Education_Costs!$I323+International_Education_Costs!$J323+International_Education_Costs!$K323</f>
        <v>22485</v>
      </c>
    </row>
    <row r="324" spans="1:14" x14ac:dyDescent="0.3">
      <c r="A324" s="4" t="s">
        <v>21</v>
      </c>
      <c r="B324" s="4" t="s">
        <v>602</v>
      </c>
      <c r="C324" s="4" t="s">
        <v>603</v>
      </c>
      <c r="D324" s="4" t="s">
        <v>15</v>
      </c>
      <c r="E324" s="4" t="s">
        <v>75</v>
      </c>
      <c r="F324" s="4">
        <v>4</v>
      </c>
      <c r="G324" s="5">
        <v>30000</v>
      </c>
      <c r="H324" s="24">
        <v>58.9</v>
      </c>
      <c r="I324" s="16">
        <v>950</v>
      </c>
      <c r="J324" s="5">
        <v>235</v>
      </c>
      <c r="K324" s="5">
        <v>600</v>
      </c>
      <c r="L324" s="5">
        <v>1.35</v>
      </c>
      <c r="M324" s="5">
        <f>(International_Education_Costs!$G324+International_Education_Costs!$I324+International_Education_Costs!$J324+International_Education_Costs!$K324)*International_Education_Costs!$L324</f>
        <v>42909.75</v>
      </c>
      <c r="N324" s="5">
        <f>International_Education_Costs!$G324+International_Education_Costs!$I324+International_Education_Costs!$J324+International_Education_Costs!$K324</f>
        <v>31785</v>
      </c>
    </row>
    <row r="325" spans="1:14" x14ac:dyDescent="0.3">
      <c r="A325" s="6" t="s">
        <v>21</v>
      </c>
      <c r="B325" s="6" t="s">
        <v>602</v>
      </c>
      <c r="C325" s="6" t="s">
        <v>603</v>
      </c>
      <c r="D325" s="6" t="s">
        <v>15</v>
      </c>
      <c r="E325" s="6" t="s">
        <v>16</v>
      </c>
      <c r="F325" s="6">
        <v>2</v>
      </c>
      <c r="G325" s="7">
        <v>20500</v>
      </c>
      <c r="H325" s="25">
        <v>58.9</v>
      </c>
      <c r="I325" s="17">
        <v>950</v>
      </c>
      <c r="J325" s="7">
        <v>235</v>
      </c>
      <c r="K325" s="7">
        <v>600</v>
      </c>
      <c r="L325" s="7">
        <v>1.35</v>
      </c>
      <c r="M325" s="7">
        <f>(International_Education_Costs!$G325+International_Education_Costs!$I325+International_Education_Costs!$J325+International_Education_Costs!$K325)*International_Education_Costs!$L325</f>
        <v>30084.750000000004</v>
      </c>
      <c r="N325" s="7">
        <f>International_Education_Costs!$G325+International_Education_Costs!$I325+International_Education_Costs!$J325+International_Education_Costs!$K325</f>
        <v>22285</v>
      </c>
    </row>
    <row r="326" spans="1:14" x14ac:dyDescent="0.3">
      <c r="A326" s="4" t="s">
        <v>21</v>
      </c>
      <c r="B326" s="4" t="s">
        <v>604</v>
      </c>
      <c r="C326" s="4" t="s">
        <v>605</v>
      </c>
      <c r="D326" s="4" t="s">
        <v>15</v>
      </c>
      <c r="E326" s="4" t="s">
        <v>75</v>
      </c>
      <c r="F326" s="4">
        <v>4</v>
      </c>
      <c r="G326" s="5">
        <v>29400</v>
      </c>
      <c r="H326" s="24">
        <v>57.2</v>
      </c>
      <c r="I326" s="16">
        <v>900</v>
      </c>
      <c r="J326" s="5">
        <v>235</v>
      </c>
      <c r="K326" s="5">
        <v>600</v>
      </c>
      <c r="L326" s="5">
        <v>1.35</v>
      </c>
      <c r="M326" s="5">
        <f>(International_Education_Costs!$G326+International_Education_Costs!$I326+International_Education_Costs!$J326+International_Education_Costs!$K326)*International_Education_Costs!$L326</f>
        <v>42032.25</v>
      </c>
      <c r="N326" s="5">
        <f>International_Education_Costs!$G326+International_Education_Costs!$I326+International_Education_Costs!$J326+International_Education_Costs!$K326</f>
        <v>31135</v>
      </c>
    </row>
    <row r="327" spans="1:14" x14ac:dyDescent="0.3">
      <c r="A327" s="6" t="s">
        <v>21</v>
      </c>
      <c r="B327" s="6" t="s">
        <v>604</v>
      </c>
      <c r="C327" s="6" t="s">
        <v>605</v>
      </c>
      <c r="D327" s="6" t="s">
        <v>15</v>
      </c>
      <c r="E327" s="6" t="s">
        <v>16</v>
      </c>
      <c r="F327" s="6">
        <v>2</v>
      </c>
      <c r="G327" s="7">
        <v>20200</v>
      </c>
      <c r="H327" s="25">
        <v>57.2</v>
      </c>
      <c r="I327" s="17">
        <v>900</v>
      </c>
      <c r="J327" s="7">
        <v>235</v>
      </c>
      <c r="K327" s="7">
        <v>600</v>
      </c>
      <c r="L327" s="7">
        <v>1.35</v>
      </c>
      <c r="M327" s="7">
        <f>(International_Education_Costs!$G327+International_Education_Costs!$I327+International_Education_Costs!$J327+International_Education_Costs!$K327)*International_Education_Costs!$L327</f>
        <v>29612.250000000004</v>
      </c>
      <c r="N327" s="7">
        <f>International_Education_Costs!$G327+International_Education_Costs!$I327+International_Education_Costs!$J327+International_Education_Costs!$K327</f>
        <v>21935</v>
      </c>
    </row>
    <row r="328" spans="1:14" x14ac:dyDescent="0.3">
      <c r="A328" s="4" t="s">
        <v>21</v>
      </c>
      <c r="B328" s="4" t="s">
        <v>606</v>
      </c>
      <c r="C328" s="4" t="s">
        <v>607</v>
      </c>
      <c r="D328" s="4" t="s">
        <v>15</v>
      </c>
      <c r="E328" s="4" t="s">
        <v>75</v>
      </c>
      <c r="F328" s="4">
        <v>4</v>
      </c>
      <c r="G328" s="5">
        <v>28800</v>
      </c>
      <c r="H328" s="24">
        <v>56.5</v>
      </c>
      <c r="I328" s="16">
        <v>850</v>
      </c>
      <c r="J328" s="5">
        <v>235</v>
      </c>
      <c r="K328" s="5">
        <v>600</v>
      </c>
      <c r="L328" s="5">
        <v>1.35</v>
      </c>
      <c r="M328" s="5">
        <f>(International_Education_Costs!$G328+International_Education_Costs!$I328+International_Education_Costs!$J328+International_Education_Costs!$K328)*International_Education_Costs!$L328</f>
        <v>41154.75</v>
      </c>
      <c r="N328" s="5">
        <f>International_Education_Costs!$G328+International_Education_Costs!$I328+International_Education_Costs!$J328+International_Education_Costs!$K328</f>
        <v>30485</v>
      </c>
    </row>
    <row r="329" spans="1:14" x14ac:dyDescent="0.3">
      <c r="A329" s="6" t="s">
        <v>21</v>
      </c>
      <c r="B329" s="6" t="s">
        <v>606</v>
      </c>
      <c r="C329" s="6" t="s">
        <v>607</v>
      </c>
      <c r="D329" s="6" t="s">
        <v>15</v>
      </c>
      <c r="E329" s="6" t="s">
        <v>16</v>
      </c>
      <c r="F329" s="6">
        <v>2</v>
      </c>
      <c r="G329" s="7">
        <v>19900</v>
      </c>
      <c r="H329" s="25">
        <v>56.5</v>
      </c>
      <c r="I329" s="17">
        <v>850</v>
      </c>
      <c r="J329" s="7">
        <v>235</v>
      </c>
      <c r="K329" s="7">
        <v>600</v>
      </c>
      <c r="L329" s="7">
        <v>1.35</v>
      </c>
      <c r="M329" s="7">
        <f>(International_Education_Costs!$G329+International_Education_Costs!$I329+International_Education_Costs!$J329+International_Education_Costs!$K329)*International_Education_Costs!$L329</f>
        <v>29139.750000000004</v>
      </c>
      <c r="N329" s="7">
        <f>International_Education_Costs!$G329+International_Education_Costs!$I329+International_Education_Costs!$J329+International_Education_Costs!$K329</f>
        <v>21585</v>
      </c>
    </row>
    <row r="330" spans="1:14" x14ac:dyDescent="0.3">
      <c r="A330" s="4" t="s">
        <v>21</v>
      </c>
      <c r="B330" s="4" t="s">
        <v>608</v>
      </c>
      <c r="C330" s="4" t="s">
        <v>609</v>
      </c>
      <c r="D330" s="4" t="s">
        <v>15</v>
      </c>
      <c r="E330" s="4" t="s">
        <v>75</v>
      </c>
      <c r="F330" s="4">
        <v>4</v>
      </c>
      <c r="G330" s="5">
        <v>28200</v>
      </c>
      <c r="H330" s="24">
        <v>56.2</v>
      </c>
      <c r="I330" s="16">
        <v>800</v>
      </c>
      <c r="J330" s="5">
        <v>235</v>
      </c>
      <c r="K330" s="5">
        <v>600</v>
      </c>
      <c r="L330" s="5">
        <v>1.35</v>
      </c>
      <c r="M330" s="5">
        <f>(International_Education_Costs!$G330+International_Education_Costs!$I330+International_Education_Costs!$J330+International_Education_Costs!$K330)*International_Education_Costs!$L330</f>
        <v>40277.25</v>
      </c>
      <c r="N330" s="5">
        <f>International_Education_Costs!$G330+International_Education_Costs!$I330+International_Education_Costs!$J330+International_Education_Costs!$K330</f>
        <v>29835</v>
      </c>
    </row>
    <row r="331" spans="1:14" x14ac:dyDescent="0.3">
      <c r="A331" s="6" t="s">
        <v>21</v>
      </c>
      <c r="B331" s="6" t="s">
        <v>608</v>
      </c>
      <c r="C331" s="6" t="s">
        <v>609</v>
      </c>
      <c r="D331" s="6" t="s">
        <v>15</v>
      </c>
      <c r="E331" s="6" t="s">
        <v>16</v>
      </c>
      <c r="F331" s="6">
        <v>2</v>
      </c>
      <c r="G331" s="7">
        <v>19600</v>
      </c>
      <c r="H331" s="25">
        <v>56.2</v>
      </c>
      <c r="I331" s="17">
        <v>800</v>
      </c>
      <c r="J331" s="7">
        <v>235</v>
      </c>
      <c r="K331" s="7">
        <v>600</v>
      </c>
      <c r="L331" s="7">
        <v>1.35</v>
      </c>
      <c r="M331" s="7">
        <f>(International_Education_Costs!$G331+International_Education_Costs!$I331+International_Education_Costs!$J331+International_Education_Costs!$K331)*International_Education_Costs!$L331</f>
        <v>28667.250000000004</v>
      </c>
      <c r="N331" s="7">
        <f>International_Education_Costs!$G331+International_Education_Costs!$I331+International_Education_Costs!$J331+International_Education_Costs!$K331</f>
        <v>21235</v>
      </c>
    </row>
    <row r="332" spans="1:14" x14ac:dyDescent="0.3">
      <c r="A332" s="4" t="s">
        <v>21</v>
      </c>
      <c r="B332" s="4" t="s">
        <v>610</v>
      </c>
      <c r="C332" s="4" t="s">
        <v>611</v>
      </c>
      <c r="D332" s="4" t="s">
        <v>15</v>
      </c>
      <c r="E332" s="4" t="s">
        <v>75</v>
      </c>
      <c r="F332" s="4">
        <v>4</v>
      </c>
      <c r="G332" s="5">
        <v>27600</v>
      </c>
      <c r="H332" s="24">
        <v>55.8</v>
      </c>
      <c r="I332" s="16">
        <v>800</v>
      </c>
      <c r="J332" s="5">
        <v>235</v>
      </c>
      <c r="K332" s="5">
        <v>600</v>
      </c>
      <c r="L332" s="5">
        <v>1.35</v>
      </c>
      <c r="M332" s="5">
        <f>(International_Education_Costs!$G332+International_Education_Costs!$I332+International_Education_Costs!$J332+International_Education_Costs!$K332)*International_Education_Costs!$L332</f>
        <v>39467.25</v>
      </c>
      <c r="N332" s="5">
        <f>International_Education_Costs!$G332+International_Education_Costs!$I332+International_Education_Costs!$J332+International_Education_Costs!$K332</f>
        <v>29235</v>
      </c>
    </row>
    <row r="333" spans="1:14" x14ac:dyDescent="0.3">
      <c r="A333" s="6" t="s">
        <v>21</v>
      </c>
      <c r="B333" s="6" t="s">
        <v>610</v>
      </c>
      <c r="C333" s="6" t="s">
        <v>611</v>
      </c>
      <c r="D333" s="6" t="s">
        <v>15</v>
      </c>
      <c r="E333" s="6" t="s">
        <v>16</v>
      </c>
      <c r="F333" s="6">
        <v>2</v>
      </c>
      <c r="G333" s="7">
        <v>19300</v>
      </c>
      <c r="H333" s="25">
        <v>55.8</v>
      </c>
      <c r="I333" s="17">
        <v>800</v>
      </c>
      <c r="J333" s="7">
        <v>235</v>
      </c>
      <c r="K333" s="7">
        <v>600</v>
      </c>
      <c r="L333" s="7">
        <v>1.35</v>
      </c>
      <c r="M333" s="7">
        <f>(International_Education_Costs!$G333+International_Education_Costs!$I333+International_Education_Costs!$J333+International_Education_Costs!$K333)*International_Education_Costs!$L333</f>
        <v>28262.250000000004</v>
      </c>
      <c r="N333" s="7">
        <f>International_Education_Costs!$G333+International_Education_Costs!$I333+International_Education_Costs!$J333+International_Education_Costs!$K333</f>
        <v>20935</v>
      </c>
    </row>
    <row r="334" spans="1:14" x14ac:dyDescent="0.3">
      <c r="A334" s="4" t="s">
        <v>21</v>
      </c>
      <c r="B334" s="4" t="s">
        <v>612</v>
      </c>
      <c r="C334" s="4" t="s">
        <v>613</v>
      </c>
      <c r="D334" s="4" t="s">
        <v>15</v>
      </c>
      <c r="E334" s="4" t="s">
        <v>75</v>
      </c>
      <c r="F334" s="4">
        <v>4</v>
      </c>
      <c r="G334" s="5">
        <v>27000</v>
      </c>
      <c r="H334" s="24">
        <v>55.5</v>
      </c>
      <c r="I334" s="16">
        <v>750</v>
      </c>
      <c r="J334" s="5">
        <v>235</v>
      </c>
      <c r="K334" s="5">
        <v>600</v>
      </c>
      <c r="L334" s="5">
        <v>1.35</v>
      </c>
      <c r="M334" s="5">
        <f>(International_Education_Costs!$G334+International_Education_Costs!$I334+International_Education_Costs!$J334+International_Education_Costs!$K334)*International_Education_Costs!$L334</f>
        <v>38589.75</v>
      </c>
      <c r="N334" s="5">
        <f>International_Education_Costs!$G334+International_Education_Costs!$I334+International_Education_Costs!$J334+International_Education_Costs!$K334</f>
        <v>28585</v>
      </c>
    </row>
    <row r="335" spans="1:14" x14ac:dyDescent="0.3">
      <c r="A335" s="6" t="s">
        <v>21</v>
      </c>
      <c r="B335" s="6" t="s">
        <v>612</v>
      </c>
      <c r="C335" s="6" t="s">
        <v>613</v>
      </c>
      <c r="D335" s="6" t="s">
        <v>15</v>
      </c>
      <c r="E335" s="6" t="s">
        <v>16</v>
      </c>
      <c r="F335" s="6">
        <v>2</v>
      </c>
      <c r="G335" s="7">
        <v>19000</v>
      </c>
      <c r="H335" s="25">
        <v>55.5</v>
      </c>
      <c r="I335" s="17">
        <v>750</v>
      </c>
      <c r="J335" s="7">
        <v>235</v>
      </c>
      <c r="K335" s="7">
        <v>600</v>
      </c>
      <c r="L335" s="7">
        <v>1.35</v>
      </c>
      <c r="M335" s="7">
        <f>(International_Education_Costs!$G335+International_Education_Costs!$I335+International_Education_Costs!$J335+International_Education_Costs!$K335)*International_Education_Costs!$L335</f>
        <v>27789.750000000004</v>
      </c>
      <c r="N335" s="7">
        <f>International_Education_Costs!$G335+International_Education_Costs!$I335+International_Education_Costs!$J335+International_Education_Costs!$K335</f>
        <v>20585</v>
      </c>
    </row>
    <row r="336" spans="1:14" x14ac:dyDescent="0.3">
      <c r="A336" s="4" t="s">
        <v>25</v>
      </c>
      <c r="B336" s="4" t="s">
        <v>26</v>
      </c>
      <c r="C336" s="4" t="s">
        <v>27</v>
      </c>
      <c r="D336" s="4" t="s">
        <v>15</v>
      </c>
      <c r="E336" s="4" t="s">
        <v>75</v>
      </c>
      <c r="F336" s="4">
        <v>3</v>
      </c>
      <c r="G336" s="5">
        <v>42500</v>
      </c>
      <c r="H336" s="24">
        <v>72.8</v>
      </c>
      <c r="I336" s="16">
        <v>1800</v>
      </c>
      <c r="J336" s="5">
        <v>450</v>
      </c>
      <c r="K336" s="5">
        <v>650</v>
      </c>
      <c r="L336" s="5">
        <v>1.52</v>
      </c>
      <c r="M336" s="5">
        <f>(International_Education_Costs!$G336+International_Education_Costs!$I336+International_Education_Costs!$J336+International_Education_Costs!$K336)*International_Education_Costs!$L336</f>
        <v>69008</v>
      </c>
      <c r="N336" s="5">
        <f>International_Education_Costs!$G336+International_Education_Costs!$I336+International_Education_Costs!$J336+International_Education_Costs!$K336</f>
        <v>45400</v>
      </c>
    </row>
    <row r="337" spans="1:14" x14ac:dyDescent="0.3">
      <c r="A337" s="6" t="s">
        <v>25</v>
      </c>
      <c r="B337" s="6" t="s">
        <v>26</v>
      </c>
      <c r="C337" s="6" t="s">
        <v>27</v>
      </c>
      <c r="D337" s="6" t="s">
        <v>15</v>
      </c>
      <c r="E337" s="6" t="s">
        <v>16</v>
      </c>
      <c r="F337" s="6">
        <v>2</v>
      </c>
      <c r="G337" s="7">
        <v>45800</v>
      </c>
      <c r="H337" s="25">
        <v>72.8</v>
      </c>
      <c r="I337" s="17">
        <v>1800</v>
      </c>
      <c r="J337" s="7">
        <v>450</v>
      </c>
      <c r="K337" s="7">
        <v>650</v>
      </c>
      <c r="L337" s="7">
        <v>1.52</v>
      </c>
      <c r="M337" s="7">
        <f>(International_Education_Costs!$G337+International_Education_Costs!$I337+International_Education_Costs!$J337+International_Education_Costs!$K337)*International_Education_Costs!$L337</f>
        <v>74024</v>
      </c>
      <c r="N337" s="7">
        <f>International_Education_Costs!$G337+International_Education_Costs!$I337+International_Education_Costs!$J337+International_Education_Costs!$K337</f>
        <v>48700</v>
      </c>
    </row>
    <row r="338" spans="1:14" x14ac:dyDescent="0.3">
      <c r="A338" s="4" t="s">
        <v>25</v>
      </c>
      <c r="B338" s="4" t="s">
        <v>26</v>
      </c>
      <c r="C338" s="4" t="s">
        <v>27</v>
      </c>
      <c r="D338" s="4" t="s">
        <v>15</v>
      </c>
      <c r="E338" s="4" t="s">
        <v>122</v>
      </c>
      <c r="F338" s="4">
        <v>4</v>
      </c>
      <c r="G338" s="5">
        <v>35000</v>
      </c>
      <c r="H338" s="24">
        <v>72.8</v>
      </c>
      <c r="I338" s="16">
        <v>1800</v>
      </c>
      <c r="J338" s="5">
        <v>450</v>
      </c>
      <c r="K338" s="5">
        <v>650</v>
      </c>
      <c r="L338" s="5">
        <v>1.52</v>
      </c>
      <c r="M338" s="5">
        <f>(International_Education_Costs!$G338+International_Education_Costs!$I338+International_Education_Costs!$J338+International_Education_Costs!$K338)*International_Education_Costs!$L338</f>
        <v>57608</v>
      </c>
      <c r="N338" s="5">
        <f>International_Education_Costs!$G338+International_Education_Costs!$I338+International_Education_Costs!$J338+International_Education_Costs!$K338</f>
        <v>37900</v>
      </c>
    </row>
    <row r="339" spans="1:14" x14ac:dyDescent="0.3">
      <c r="A339" s="6" t="s">
        <v>25</v>
      </c>
      <c r="B339" s="6" t="s">
        <v>179</v>
      </c>
      <c r="C339" s="6" t="s">
        <v>180</v>
      </c>
      <c r="D339" s="6" t="s">
        <v>15</v>
      </c>
      <c r="E339" s="6" t="s">
        <v>75</v>
      </c>
      <c r="F339" s="6">
        <v>3</v>
      </c>
      <c r="G339" s="7">
        <v>41800</v>
      </c>
      <c r="H339" s="25">
        <v>74.5</v>
      </c>
      <c r="I339" s="17">
        <v>2000</v>
      </c>
      <c r="J339" s="7">
        <v>450</v>
      </c>
      <c r="K339" s="7">
        <v>650</v>
      </c>
      <c r="L339" s="7">
        <v>1.52</v>
      </c>
      <c r="M339" s="7">
        <f>(International_Education_Costs!$G339+International_Education_Costs!$I339+International_Education_Costs!$J339+International_Education_Costs!$K339)*International_Education_Costs!$L339</f>
        <v>68248</v>
      </c>
      <c r="N339" s="7">
        <f>International_Education_Costs!$G339+International_Education_Costs!$I339+International_Education_Costs!$J339+International_Education_Costs!$K339</f>
        <v>44900</v>
      </c>
    </row>
    <row r="340" spans="1:14" x14ac:dyDescent="0.3">
      <c r="A340" s="4" t="s">
        <v>25</v>
      </c>
      <c r="B340" s="4" t="s">
        <v>179</v>
      </c>
      <c r="C340" s="4" t="s">
        <v>180</v>
      </c>
      <c r="D340" s="4" t="s">
        <v>15</v>
      </c>
      <c r="E340" s="4" t="s">
        <v>16</v>
      </c>
      <c r="F340" s="4">
        <v>2</v>
      </c>
      <c r="G340" s="5">
        <v>44900</v>
      </c>
      <c r="H340" s="24">
        <v>74.5</v>
      </c>
      <c r="I340" s="16">
        <v>2000</v>
      </c>
      <c r="J340" s="5">
        <v>450</v>
      </c>
      <c r="K340" s="5">
        <v>650</v>
      </c>
      <c r="L340" s="5">
        <v>1.52</v>
      </c>
      <c r="M340" s="5">
        <f>(International_Education_Costs!$G340+International_Education_Costs!$I340+International_Education_Costs!$J340+International_Education_Costs!$K340)*International_Education_Costs!$L340</f>
        <v>72960</v>
      </c>
      <c r="N340" s="5">
        <f>International_Education_Costs!$G340+International_Education_Costs!$I340+International_Education_Costs!$J340+International_Education_Costs!$K340</f>
        <v>48000</v>
      </c>
    </row>
    <row r="341" spans="1:14" x14ac:dyDescent="0.3">
      <c r="A341" s="6" t="s">
        <v>25</v>
      </c>
      <c r="B341" s="6" t="s">
        <v>179</v>
      </c>
      <c r="C341" s="6" t="s">
        <v>180</v>
      </c>
      <c r="D341" s="6" t="s">
        <v>15</v>
      </c>
      <c r="E341" s="6" t="s">
        <v>122</v>
      </c>
      <c r="F341" s="6">
        <v>4</v>
      </c>
      <c r="G341" s="7">
        <v>34500</v>
      </c>
      <c r="H341" s="25">
        <v>74.5</v>
      </c>
      <c r="I341" s="17">
        <v>2000</v>
      </c>
      <c r="J341" s="7">
        <v>450</v>
      </c>
      <c r="K341" s="7">
        <v>650</v>
      </c>
      <c r="L341" s="7">
        <v>1.52</v>
      </c>
      <c r="M341" s="7">
        <f>(International_Education_Costs!$G341+International_Education_Costs!$I341+International_Education_Costs!$J341+International_Education_Costs!$K341)*International_Education_Costs!$L341</f>
        <v>57152</v>
      </c>
      <c r="N341" s="7">
        <f>International_Education_Costs!$G341+International_Education_Costs!$I341+International_Education_Costs!$J341+International_Education_Costs!$K341</f>
        <v>37600</v>
      </c>
    </row>
    <row r="342" spans="1:14" x14ac:dyDescent="0.3">
      <c r="A342" s="4" t="s">
        <v>25</v>
      </c>
      <c r="B342" s="4" t="s">
        <v>142</v>
      </c>
      <c r="C342" s="4" t="s">
        <v>143</v>
      </c>
      <c r="D342" s="4" t="s">
        <v>15</v>
      </c>
      <c r="E342" s="4" t="s">
        <v>75</v>
      </c>
      <c r="F342" s="4">
        <v>3</v>
      </c>
      <c r="G342" s="5">
        <v>41200</v>
      </c>
      <c r="H342" s="24">
        <v>68.900000000000006</v>
      </c>
      <c r="I342" s="16">
        <v>1600</v>
      </c>
      <c r="J342" s="5">
        <v>450</v>
      </c>
      <c r="K342" s="5">
        <v>650</v>
      </c>
      <c r="L342" s="5">
        <v>1.52</v>
      </c>
      <c r="M342" s="5">
        <f>(International_Education_Costs!$G342+International_Education_Costs!$I342+International_Education_Costs!$J342+International_Education_Costs!$K342)*International_Education_Costs!$L342</f>
        <v>66728</v>
      </c>
      <c r="N342" s="5">
        <f>International_Education_Costs!$G342+International_Education_Costs!$I342+International_Education_Costs!$J342+International_Education_Costs!$K342</f>
        <v>43900</v>
      </c>
    </row>
    <row r="343" spans="1:14" x14ac:dyDescent="0.3">
      <c r="A343" s="6" t="s">
        <v>25</v>
      </c>
      <c r="B343" s="6" t="s">
        <v>142</v>
      </c>
      <c r="C343" s="6" t="s">
        <v>143</v>
      </c>
      <c r="D343" s="6" t="s">
        <v>15</v>
      </c>
      <c r="E343" s="6" t="s">
        <v>16</v>
      </c>
      <c r="F343" s="6">
        <v>2</v>
      </c>
      <c r="G343" s="7">
        <v>44200</v>
      </c>
      <c r="H343" s="25">
        <v>68.900000000000006</v>
      </c>
      <c r="I343" s="17">
        <v>1600</v>
      </c>
      <c r="J343" s="7">
        <v>450</v>
      </c>
      <c r="K343" s="7">
        <v>650</v>
      </c>
      <c r="L343" s="7">
        <v>1.52</v>
      </c>
      <c r="M343" s="7">
        <f>(International_Education_Costs!$G343+International_Education_Costs!$I343+International_Education_Costs!$J343+International_Education_Costs!$K343)*International_Education_Costs!$L343</f>
        <v>71288</v>
      </c>
      <c r="N343" s="7">
        <f>International_Education_Costs!$G343+International_Education_Costs!$I343+International_Education_Costs!$J343+International_Education_Costs!$K343</f>
        <v>46900</v>
      </c>
    </row>
    <row r="344" spans="1:14" x14ac:dyDescent="0.3">
      <c r="A344" s="4" t="s">
        <v>25</v>
      </c>
      <c r="B344" s="4" t="s">
        <v>142</v>
      </c>
      <c r="C344" s="4" t="s">
        <v>143</v>
      </c>
      <c r="D344" s="4" t="s">
        <v>15</v>
      </c>
      <c r="E344" s="4" t="s">
        <v>122</v>
      </c>
      <c r="F344" s="4">
        <v>4</v>
      </c>
      <c r="G344" s="5">
        <v>34000</v>
      </c>
      <c r="H344" s="24">
        <v>68.900000000000006</v>
      </c>
      <c r="I344" s="16">
        <v>1600</v>
      </c>
      <c r="J344" s="5">
        <v>450</v>
      </c>
      <c r="K344" s="5">
        <v>650</v>
      </c>
      <c r="L344" s="5">
        <v>1.52</v>
      </c>
      <c r="M344" s="5">
        <f>(International_Education_Costs!$G344+International_Education_Costs!$I344+International_Education_Costs!$J344+International_Education_Costs!$K344)*International_Education_Costs!$L344</f>
        <v>55784</v>
      </c>
      <c r="N344" s="5">
        <f>International_Education_Costs!$G344+International_Education_Costs!$I344+International_Education_Costs!$J344+International_Education_Costs!$K344</f>
        <v>36700</v>
      </c>
    </row>
    <row r="345" spans="1:14" x14ac:dyDescent="0.3">
      <c r="A345" s="6" t="s">
        <v>25</v>
      </c>
      <c r="B345" s="6" t="s">
        <v>614</v>
      </c>
      <c r="C345" s="6" t="s">
        <v>615</v>
      </c>
      <c r="D345" s="6" t="s">
        <v>15</v>
      </c>
      <c r="E345" s="6" t="s">
        <v>75</v>
      </c>
      <c r="F345" s="6">
        <v>3</v>
      </c>
      <c r="G345" s="7">
        <v>40500</v>
      </c>
      <c r="H345" s="25">
        <v>69.2</v>
      </c>
      <c r="I345" s="17">
        <v>1500</v>
      </c>
      <c r="J345" s="7">
        <v>450</v>
      </c>
      <c r="K345" s="7">
        <v>650</v>
      </c>
      <c r="L345" s="7">
        <v>1.52</v>
      </c>
      <c r="M345" s="7">
        <f>(International_Education_Costs!$G345+International_Education_Costs!$I345+International_Education_Costs!$J345+International_Education_Costs!$K345)*International_Education_Costs!$L345</f>
        <v>65512</v>
      </c>
      <c r="N345" s="7">
        <f>International_Education_Costs!$G345+International_Education_Costs!$I345+International_Education_Costs!$J345+International_Education_Costs!$K345</f>
        <v>43100</v>
      </c>
    </row>
    <row r="346" spans="1:14" x14ac:dyDescent="0.3">
      <c r="A346" s="4" t="s">
        <v>25</v>
      </c>
      <c r="B346" s="4" t="s">
        <v>614</v>
      </c>
      <c r="C346" s="4" t="s">
        <v>615</v>
      </c>
      <c r="D346" s="4" t="s">
        <v>15</v>
      </c>
      <c r="E346" s="4" t="s">
        <v>16</v>
      </c>
      <c r="F346" s="4">
        <v>2</v>
      </c>
      <c r="G346" s="5">
        <v>43500</v>
      </c>
      <c r="H346" s="24">
        <v>69.2</v>
      </c>
      <c r="I346" s="16">
        <v>1500</v>
      </c>
      <c r="J346" s="5">
        <v>450</v>
      </c>
      <c r="K346" s="5">
        <v>650</v>
      </c>
      <c r="L346" s="5">
        <v>1.52</v>
      </c>
      <c r="M346" s="5">
        <f>(International_Education_Costs!$G346+International_Education_Costs!$I346+International_Education_Costs!$J346+International_Education_Costs!$K346)*International_Education_Costs!$L346</f>
        <v>70072</v>
      </c>
      <c r="N346" s="5">
        <f>International_Education_Costs!$G346+International_Education_Costs!$I346+International_Education_Costs!$J346+International_Education_Costs!$K346</f>
        <v>46100</v>
      </c>
    </row>
    <row r="347" spans="1:14" x14ac:dyDescent="0.3">
      <c r="A347" s="6" t="s">
        <v>25</v>
      </c>
      <c r="B347" s="6" t="s">
        <v>614</v>
      </c>
      <c r="C347" s="6" t="s">
        <v>615</v>
      </c>
      <c r="D347" s="6" t="s">
        <v>15</v>
      </c>
      <c r="E347" s="6" t="s">
        <v>122</v>
      </c>
      <c r="F347" s="6">
        <v>4</v>
      </c>
      <c r="G347" s="7">
        <v>33500</v>
      </c>
      <c r="H347" s="25">
        <v>69.2</v>
      </c>
      <c r="I347" s="17">
        <v>1500</v>
      </c>
      <c r="J347" s="7">
        <v>450</v>
      </c>
      <c r="K347" s="7">
        <v>650</v>
      </c>
      <c r="L347" s="7">
        <v>1.52</v>
      </c>
      <c r="M347" s="7">
        <f>(International_Education_Costs!$G347+International_Education_Costs!$I347+International_Education_Costs!$J347+International_Education_Costs!$K347)*International_Education_Costs!$L347</f>
        <v>54872</v>
      </c>
      <c r="N347" s="7">
        <f>International_Education_Costs!$G347+International_Education_Costs!$I347+International_Education_Costs!$J347+International_Education_Costs!$K347</f>
        <v>36100</v>
      </c>
    </row>
    <row r="348" spans="1:14" x14ac:dyDescent="0.3">
      <c r="A348" s="4" t="s">
        <v>25</v>
      </c>
      <c r="B348" s="4" t="s">
        <v>179</v>
      </c>
      <c r="C348" s="4" t="s">
        <v>616</v>
      </c>
      <c r="D348" s="4" t="s">
        <v>15</v>
      </c>
      <c r="E348" s="4" t="s">
        <v>75</v>
      </c>
      <c r="F348" s="4">
        <v>3</v>
      </c>
      <c r="G348" s="5">
        <v>40200</v>
      </c>
      <c r="H348" s="24">
        <v>74.5</v>
      </c>
      <c r="I348" s="16">
        <v>1900</v>
      </c>
      <c r="J348" s="5">
        <v>450</v>
      </c>
      <c r="K348" s="5">
        <v>650</v>
      </c>
      <c r="L348" s="5">
        <v>1.52</v>
      </c>
      <c r="M348" s="5">
        <f>(International_Education_Costs!$G348+International_Education_Costs!$I348+International_Education_Costs!$J348+International_Education_Costs!$K348)*International_Education_Costs!$L348</f>
        <v>65664</v>
      </c>
      <c r="N348" s="5">
        <f>International_Education_Costs!$G348+International_Education_Costs!$I348+International_Education_Costs!$J348+International_Education_Costs!$K348</f>
        <v>43200</v>
      </c>
    </row>
    <row r="349" spans="1:14" x14ac:dyDescent="0.3">
      <c r="A349" s="6" t="s">
        <v>25</v>
      </c>
      <c r="B349" s="6" t="s">
        <v>179</v>
      </c>
      <c r="C349" s="6" t="s">
        <v>616</v>
      </c>
      <c r="D349" s="6" t="s">
        <v>15</v>
      </c>
      <c r="E349" s="6" t="s">
        <v>16</v>
      </c>
      <c r="F349" s="6">
        <v>2</v>
      </c>
      <c r="G349" s="7">
        <v>43200</v>
      </c>
      <c r="H349" s="25">
        <v>74.5</v>
      </c>
      <c r="I349" s="17">
        <v>1900</v>
      </c>
      <c r="J349" s="7">
        <v>450</v>
      </c>
      <c r="K349" s="7">
        <v>650</v>
      </c>
      <c r="L349" s="7">
        <v>1.52</v>
      </c>
      <c r="M349" s="7">
        <f>(International_Education_Costs!$G349+International_Education_Costs!$I349+International_Education_Costs!$J349+International_Education_Costs!$K349)*International_Education_Costs!$L349</f>
        <v>70224</v>
      </c>
      <c r="N349" s="7">
        <f>International_Education_Costs!$G349+International_Education_Costs!$I349+International_Education_Costs!$J349+International_Education_Costs!$K349</f>
        <v>46200</v>
      </c>
    </row>
    <row r="350" spans="1:14" x14ac:dyDescent="0.3">
      <c r="A350" s="4" t="s">
        <v>25</v>
      </c>
      <c r="B350" s="4" t="s">
        <v>179</v>
      </c>
      <c r="C350" s="4" t="s">
        <v>616</v>
      </c>
      <c r="D350" s="4" t="s">
        <v>15</v>
      </c>
      <c r="E350" s="4" t="s">
        <v>122</v>
      </c>
      <c r="F350" s="4">
        <v>4</v>
      </c>
      <c r="G350" s="5">
        <v>33200</v>
      </c>
      <c r="H350" s="24">
        <v>74.5</v>
      </c>
      <c r="I350" s="16">
        <v>1900</v>
      </c>
      <c r="J350" s="5">
        <v>450</v>
      </c>
      <c r="K350" s="5">
        <v>650</v>
      </c>
      <c r="L350" s="5">
        <v>1.52</v>
      </c>
      <c r="M350" s="5">
        <f>(International_Education_Costs!$G350+International_Education_Costs!$I350+International_Education_Costs!$J350+International_Education_Costs!$K350)*International_Education_Costs!$L350</f>
        <v>55024</v>
      </c>
      <c r="N350" s="5">
        <f>International_Education_Costs!$G350+International_Education_Costs!$I350+International_Education_Costs!$J350+International_Education_Costs!$K350</f>
        <v>36200</v>
      </c>
    </row>
    <row r="351" spans="1:14" x14ac:dyDescent="0.3">
      <c r="A351" s="6" t="s">
        <v>25</v>
      </c>
      <c r="B351" s="6" t="s">
        <v>26</v>
      </c>
      <c r="C351" s="6" t="s">
        <v>617</v>
      </c>
      <c r="D351" s="6" t="s">
        <v>15</v>
      </c>
      <c r="E351" s="6" t="s">
        <v>75</v>
      </c>
      <c r="F351" s="6">
        <v>3</v>
      </c>
      <c r="G351" s="7">
        <v>39800</v>
      </c>
      <c r="H351" s="25">
        <v>72.8</v>
      </c>
      <c r="I351" s="17">
        <v>1700</v>
      </c>
      <c r="J351" s="7">
        <v>450</v>
      </c>
      <c r="K351" s="7">
        <v>650</v>
      </c>
      <c r="L351" s="7">
        <v>1.52</v>
      </c>
      <c r="M351" s="7">
        <f>(International_Education_Costs!$G351+International_Education_Costs!$I351+International_Education_Costs!$J351+International_Education_Costs!$K351)*International_Education_Costs!$L351</f>
        <v>64752</v>
      </c>
      <c r="N351" s="7">
        <f>International_Education_Costs!$G351+International_Education_Costs!$I351+International_Education_Costs!$J351+International_Education_Costs!$K351</f>
        <v>42600</v>
      </c>
    </row>
    <row r="352" spans="1:14" x14ac:dyDescent="0.3">
      <c r="A352" s="4" t="s">
        <v>25</v>
      </c>
      <c r="B352" s="4" t="s">
        <v>26</v>
      </c>
      <c r="C352" s="4" t="s">
        <v>617</v>
      </c>
      <c r="D352" s="4" t="s">
        <v>15</v>
      </c>
      <c r="E352" s="4" t="s">
        <v>16</v>
      </c>
      <c r="F352" s="4">
        <v>2</v>
      </c>
      <c r="G352" s="5">
        <v>42800</v>
      </c>
      <c r="H352" s="24">
        <v>72.8</v>
      </c>
      <c r="I352" s="16">
        <v>1700</v>
      </c>
      <c r="J352" s="5">
        <v>450</v>
      </c>
      <c r="K352" s="5">
        <v>650</v>
      </c>
      <c r="L352" s="5">
        <v>1.52</v>
      </c>
      <c r="M352" s="5">
        <f>(International_Education_Costs!$G352+International_Education_Costs!$I352+International_Education_Costs!$J352+International_Education_Costs!$K352)*International_Education_Costs!$L352</f>
        <v>69312</v>
      </c>
      <c r="N352" s="5">
        <f>International_Education_Costs!$G352+International_Education_Costs!$I352+International_Education_Costs!$J352+International_Education_Costs!$K352</f>
        <v>45600</v>
      </c>
    </row>
    <row r="353" spans="1:14" x14ac:dyDescent="0.3">
      <c r="A353" s="6" t="s">
        <v>25</v>
      </c>
      <c r="B353" s="6" t="s">
        <v>26</v>
      </c>
      <c r="C353" s="6" t="s">
        <v>617</v>
      </c>
      <c r="D353" s="6" t="s">
        <v>15</v>
      </c>
      <c r="E353" s="6" t="s">
        <v>122</v>
      </c>
      <c r="F353" s="6">
        <v>4</v>
      </c>
      <c r="G353" s="7">
        <v>32800</v>
      </c>
      <c r="H353" s="25">
        <v>72.8</v>
      </c>
      <c r="I353" s="17">
        <v>1700</v>
      </c>
      <c r="J353" s="7">
        <v>450</v>
      </c>
      <c r="K353" s="7">
        <v>650</v>
      </c>
      <c r="L353" s="7">
        <v>1.52</v>
      </c>
      <c r="M353" s="7">
        <f>(International_Education_Costs!$G353+International_Education_Costs!$I353+International_Education_Costs!$J353+International_Education_Costs!$K353)*International_Education_Costs!$L353</f>
        <v>54112</v>
      </c>
      <c r="N353" s="7">
        <f>International_Education_Costs!$G353+International_Education_Costs!$I353+International_Education_Costs!$J353+International_Education_Costs!$K353</f>
        <v>35600</v>
      </c>
    </row>
    <row r="354" spans="1:14" x14ac:dyDescent="0.3">
      <c r="A354" s="4" t="s">
        <v>25</v>
      </c>
      <c r="B354" s="4" t="s">
        <v>224</v>
      </c>
      <c r="C354" s="4" t="s">
        <v>225</v>
      </c>
      <c r="D354" s="4" t="s">
        <v>15</v>
      </c>
      <c r="E354" s="4" t="s">
        <v>75</v>
      </c>
      <c r="F354" s="4">
        <v>3</v>
      </c>
      <c r="G354" s="5">
        <v>39200</v>
      </c>
      <c r="H354" s="24">
        <v>67.5</v>
      </c>
      <c r="I354" s="16">
        <v>1400</v>
      </c>
      <c r="J354" s="5">
        <v>450</v>
      </c>
      <c r="K354" s="5">
        <v>650</v>
      </c>
      <c r="L354" s="5">
        <v>1.52</v>
      </c>
      <c r="M354" s="5">
        <f>(International_Education_Costs!$G354+International_Education_Costs!$I354+International_Education_Costs!$J354+International_Education_Costs!$K354)*International_Education_Costs!$L354</f>
        <v>63384</v>
      </c>
      <c r="N354" s="5">
        <f>International_Education_Costs!$G354+International_Education_Costs!$I354+International_Education_Costs!$J354+International_Education_Costs!$K354</f>
        <v>41700</v>
      </c>
    </row>
    <row r="355" spans="1:14" x14ac:dyDescent="0.3">
      <c r="A355" s="6" t="s">
        <v>25</v>
      </c>
      <c r="B355" s="6" t="s">
        <v>224</v>
      </c>
      <c r="C355" s="6" t="s">
        <v>225</v>
      </c>
      <c r="D355" s="6" t="s">
        <v>15</v>
      </c>
      <c r="E355" s="6" t="s">
        <v>16</v>
      </c>
      <c r="F355" s="6">
        <v>2</v>
      </c>
      <c r="G355" s="7">
        <v>42200</v>
      </c>
      <c r="H355" s="25">
        <v>67.5</v>
      </c>
      <c r="I355" s="17">
        <v>1400</v>
      </c>
      <c r="J355" s="7">
        <v>450</v>
      </c>
      <c r="K355" s="7">
        <v>650</v>
      </c>
      <c r="L355" s="7">
        <v>1.52</v>
      </c>
      <c r="M355" s="7">
        <f>(International_Education_Costs!$G355+International_Education_Costs!$I355+International_Education_Costs!$J355+International_Education_Costs!$K355)*International_Education_Costs!$L355</f>
        <v>67944</v>
      </c>
      <c r="N355" s="7">
        <f>International_Education_Costs!$G355+International_Education_Costs!$I355+International_Education_Costs!$J355+International_Education_Costs!$K355</f>
        <v>44700</v>
      </c>
    </row>
    <row r="356" spans="1:14" x14ac:dyDescent="0.3">
      <c r="A356" s="4" t="s">
        <v>25</v>
      </c>
      <c r="B356" s="4" t="s">
        <v>224</v>
      </c>
      <c r="C356" s="4" t="s">
        <v>225</v>
      </c>
      <c r="D356" s="4" t="s">
        <v>15</v>
      </c>
      <c r="E356" s="4" t="s">
        <v>122</v>
      </c>
      <c r="F356" s="4">
        <v>4</v>
      </c>
      <c r="G356" s="5">
        <v>32200</v>
      </c>
      <c r="H356" s="24">
        <v>67.5</v>
      </c>
      <c r="I356" s="16">
        <v>1400</v>
      </c>
      <c r="J356" s="5">
        <v>450</v>
      </c>
      <c r="K356" s="5">
        <v>650</v>
      </c>
      <c r="L356" s="5">
        <v>1.52</v>
      </c>
      <c r="M356" s="5">
        <f>(International_Education_Costs!$G356+International_Education_Costs!$I356+International_Education_Costs!$J356+International_Education_Costs!$K356)*International_Education_Costs!$L356</f>
        <v>52744</v>
      </c>
      <c r="N356" s="5">
        <f>International_Education_Costs!$G356+International_Education_Costs!$I356+International_Education_Costs!$J356+International_Education_Costs!$K356</f>
        <v>34700</v>
      </c>
    </row>
    <row r="357" spans="1:14" x14ac:dyDescent="0.3">
      <c r="A357" s="6" t="s">
        <v>25</v>
      </c>
      <c r="B357" s="6" t="s">
        <v>226</v>
      </c>
      <c r="C357" s="6" t="s">
        <v>227</v>
      </c>
      <c r="D357" s="6" t="s">
        <v>15</v>
      </c>
      <c r="E357" s="6" t="s">
        <v>75</v>
      </c>
      <c r="F357" s="6">
        <v>3</v>
      </c>
      <c r="G357" s="7">
        <v>38800</v>
      </c>
      <c r="H357" s="25">
        <v>68.2</v>
      </c>
      <c r="I357" s="17">
        <v>1500</v>
      </c>
      <c r="J357" s="7">
        <v>450</v>
      </c>
      <c r="K357" s="7">
        <v>650</v>
      </c>
      <c r="L357" s="7">
        <v>1.52</v>
      </c>
      <c r="M357" s="7">
        <f>(International_Education_Costs!$G357+International_Education_Costs!$I357+International_Education_Costs!$J357+International_Education_Costs!$K357)*International_Education_Costs!$L357</f>
        <v>62928</v>
      </c>
      <c r="N357" s="7">
        <f>International_Education_Costs!$G357+International_Education_Costs!$I357+International_Education_Costs!$J357+International_Education_Costs!$K357</f>
        <v>41400</v>
      </c>
    </row>
    <row r="358" spans="1:14" x14ac:dyDescent="0.3">
      <c r="A358" s="4" t="s">
        <v>25</v>
      </c>
      <c r="B358" s="4" t="s">
        <v>226</v>
      </c>
      <c r="C358" s="4" t="s">
        <v>227</v>
      </c>
      <c r="D358" s="4" t="s">
        <v>15</v>
      </c>
      <c r="E358" s="4" t="s">
        <v>16</v>
      </c>
      <c r="F358" s="4">
        <v>2</v>
      </c>
      <c r="G358" s="5">
        <v>41800</v>
      </c>
      <c r="H358" s="24">
        <v>68.2</v>
      </c>
      <c r="I358" s="16">
        <v>1500</v>
      </c>
      <c r="J358" s="5">
        <v>450</v>
      </c>
      <c r="K358" s="5">
        <v>650</v>
      </c>
      <c r="L358" s="5">
        <v>1.52</v>
      </c>
      <c r="M358" s="5">
        <f>(International_Education_Costs!$G358+International_Education_Costs!$I358+International_Education_Costs!$J358+International_Education_Costs!$K358)*International_Education_Costs!$L358</f>
        <v>67488</v>
      </c>
      <c r="N358" s="5">
        <f>International_Education_Costs!$G358+International_Education_Costs!$I358+International_Education_Costs!$J358+International_Education_Costs!$K358</f>
        <v>44400</v>
      </c>
    </row>
    <row r="359" spans="1:14" x14ac:dyDescent="0.3">
      <c r="A359" s="6" t="s">
        <v>25</v>
      </c>
      <c r="B359" s="6" t="s">
        <v>226</v>
      </c>
      <c r="C359" s="6" t="s">
        <v>227</v>
      </c>
      <c r="D359" s="6" t="s">
        <v>15</v>
      </c>
      <c r="E359" s="6" t="s">
        <v>122</v>
      </c>
      <c r="F359" s="6">
        <v>4</v>
      </c>
      <c r="G359" s="7">
        <v>31800</v>
      </c>
      <c r="H359" s="25">
        <v>68.2</v>
      </c>
      <c r="I359" s="17">
        <v>1500</v>
      </c>
      <c r="J359" s="7">
        <v>450</v>
      </c>
      <c r="K359" s="7">
        <v>650</v>
      </c>
      <c r="L359" s="7">
        <v>1.52</v>
      </c>
      <c r="M359" s="7">
        <f>(International_Education_Costs!$G359+International_Education_Costs!$I359+International_Education_Costs!$J359+International_Education_Costs!$K359)*International_Education_Costs!$L359</f>
        <v>52288</v>
      </c>
      <c r="N359" s="7">
        <f>International_Education_Costs!$G359+International_Education_Costs!$I359+International_Education_Costs!$J359+International_Education_Costs!$K359</f>
        <v>34400</v>
      </c>
    </row>
    <row r="360" spans="1:14" x14ac:dyDescent="0.3">
      <c r="A360" s="4" t="s">
        <v>25</v>
      </c>
      <c r="B360" s="4" t="s">
        <v>614</v>
      </c>
      <c r="C360" s="4" t="s">
        <v>618</v>
      </c>
      <c r="D360" s="4" t="s">
        <v>15</v>
      </c>
      <c r="E360" s="4" t="s">
        <v>75</v>
      </c>
      <c r="F360" s="4">
        <v>3</v>
      </c>
      <c r="G360" s="5">
        <v>38200</v>
      </c>
      <c r="H360" s="24">
        <v>69.2</v>
      </c>
      <c r="I360" s="16">
        <v>1400</v>
      </c>
      <c r="J360" s="5">
        <v>450</v>
      </c>
      <c r="K360" s="5">
        <v>650</v>
      </c>
      <c r="L360" s="5">
        <v>1.52</v>
      </c>
      <c r="M360" s="5">
        <f>(International_Education_Costs!$G360+International_Education_Costs!$I360+International_Education_Costs!$J360+International_Education_Costs!$K360)*International_Education_Costs!$L360</f>
        <v>61864</v>
      </c>
      <c r="N360" s="5">
        <f>International_Education_Costs!$G360+International_Education_Costs!$I360+International_Education_Costs!$J360+International_Education_Costs!$K360</f>
        <v>40700</v>
      </c>
    </row>
    <row r="361" spans="1:14" x14ac:dyDescent="0.3">
      <c r="A361" s="6" t="s">
        <v>25</v>
      </c>
      <c r="B361" s="6" t="s">
        <v>614</v>
      </c>
      <c r="C361" s="6" t="s">
        <v>618</v>
      </c>
      <c r="D361" s="6" t="s">
        <v>15</v>
      </c>
      <c r="E361" s="6" t="s">
        <v>16</v>
      </c>
      <c r="F361" s="6">
        <v>2</v>
      </c>
      <c r="G361" s="7">
        <v>41200</v>
      </c>
      <c r="H361" s="25">
        <v>69.2</v>
      </c>
      <c r="I361" s="17">
        <v>1400</v>
      </c>
      <c r="J361" s="7">
        <v>450</v>
      </c>
      <c r="K361" s="7">
        <v>650</v>
      </c>
      <c r="L361" s="7">
        <v>1.52</v>
      </c>
      <c r="M361" s="7">
        <f>(International_Education_Costs!$G361+International_Education_Costs!$I361+International_Education_Costs!$J361+International_Education_Costs!$K361)*International_Education_Costs!$L361</f>
        <v>66424</v>
      </c>
      <c r="N361" s="7">
        <f>International_Education_Costs!$G361+International_Education_Costs!$I361+International_Education_Costs!$J361+International_Education_Costs!$K361</f>
        <v>43700</v>
      </c>
    </row>
    <row r="362" spans="1:14" x14ac:dyDescent="0.3">
      <c r="A362" s="4" t="s">
        <v>25</v>
      </c>
      <c r="B362" s="4" t="s">
        <v>614</v>
      </c>
      <c r="C362" s="4" t="s">
        <v>618</v>
      </c>
      <c r="D362" s="4" t="s">
        <v>15</v>
      </c>
      <c r="E362" s="4" t="s">
        <v>122</v>
      </c>
      <c r="F362" s="4">
        <v>4</v>
      </c>
      <c r="G362" s="5">
        <v>31200</v>
      </c>
      <c r="H362" s="24">
        <v>69.2</v>
      </c>
      <c r="I362" s="16">
        <v>1400</v>
      </c>
      <c r="J362" s="5">
        <v>450</v>
      </c>
      <c r="K362" s="5">
        <v>650</v>
      </c>
      <c r="L362" s="5">
        <v>1.52</v>
      </c>
      <c r="M362" s="5">
        <f>(International_Education_Costs!$G362+International_Education_Costs!$I362+International_Education_Costs!$J362+International_Education_Costs!$K362)*International_Education_Costs!$L362</f>
        <v>51224</v>
      </c>
      <c r="N362" s="5">
        <f>International_Education_Costs!$G362+International_Education_Costs!$I362+International_Education_Costs!$J362+International_Education_Costs!$K362</f>
        <v>33700</v>
      </c>
    </row>
    <row r="363" spans="1:14" x14ac:dyDescent="0.3">
      <c r="A363" s="6" t="s">
        <v>25</v>
      </c>
      <c r="B363" s="6" t="s">
        <v>179</v>
      </c>
      <c r="C363" s="6" t="s">
        <v>619</v>
      </c>
      <c r="D363" s="6" t="s">
        <v>15</v>
      </c>
      <c r="E363" s="6" t="s">
        <v>75</v>
      </c>
      <c r="F363" s="6">
        <v>3</v>
      </c>
      <c r="G363" s="7">
        <v>37800</v>
      </c>
      <c r="H363" s="25">
        <v>74.5</v>
      </c>
      <c r="I363" s="17">
        <v>1800</v>
      </c>
      <c r="J363" s="7">
        <v>450</v>
      </c>
      <c r="K363" s="7">
        <v>650</v>
      </c>
      <c r="L363" s="7">
        <v>1.52</v>
      </c>
      <c r="M363" s="7">
        <f>(International_Education_Costs!$G363+International_Education_Costs!$I363+International_Education_Costs!$J363+International_Education_Costs!$K363)*International_Education_Costs!$L363</f>
        <v>61864</v>
      </c>
      <c r="N363" s="7">
        <f>International_Education_Costs!$G363+International_Education_Costs!$I363+International_Education_Costs!$J363+International_Education_Costs!$K363</f>
        <v>40700</v>
      </c>
    </row>
    <row r="364" spans="1:14" x14ac:dyDescent="0.3">
      <c r="A364" s="4" t="s">
        <v>25</v>
      </c>
      <c r="B364" s="4" t="s">
        <v>179</v>
      </c>
      <c r="C364" s="4" t="s">
        <v>619</v>
      </c>
      <c r="D364" s="4" t="s">
        <v>15</v>
      </c>
      <c r="E364" s="4" t="s">
        <v>16</v>
      </c>
      <c r="F364" s="4">
        <v>2</v>
      </c>
      <c r="G364" s="5">
        <v>40800</v>
      </c>
      <c r="H364" s="24">
        <v>74.5</v>
      </c>
      <c r="I364" s="16">
        <v>1800</v>
      </c>
      <c r="J364" s="5">
        <v>450</v>
      </c>
      <c r="K364" s="5">
        <v>650</v>
      </c>
      <c r="L364" s="5">
        <v>1.52</v>
      </c>
      <c r="M364" s="5">
        <f>(International_Education_Costs!$G364+International_Education_Costs!$I364+International_Education_Costs!$J364+International_Education_Costs!$K364)*International_Education_Costs!$L364</f>
        <v>66424</v>
      </c>
      <c r="N364" s="5">
        <f>International_Education_Costs!$G364+International_Education_Costs!$I364+International_Education_Costs!$J364+International_Education_Costs!$K364</f>
        <v>43700</v>
      </c>
    </row>
    <row r="365" spans="1:14" x14ac:dyDescent="0.3">
      <c r="A365" s="6" t="s">
        <v>25</v>
      </c>
      <c r="B365" s="6" t="s">
        <v>179</v>
      </c>
      <c r="C365" s="6" t="s">
        <v>619</v>
      </c>
      <c r="D365" s="6" t="s">
        <v>15</v>
      </c>
      <c r="E365" s="6" t="s">
        <v>122</v>
      </c>
      <c r="F365" s="6">
        <v>4</v>
      </c>
      <c r="G365" s="7">
        <v>30800</v>
      </c>
      <c r="H365" s="25">
        <v>74.5</v>
      </c>
      <c r="I365" s="17">
        <v>1800</v>
      </c>
      <c r="J365" s="7">
        <v>450</v>
      </c>
      <c r="K365" s="7">
        <v>650</v>
      </c>
      <c r="L365" s="7">
        <v>1.52</v>
      </c>
      <c r="M365" s="7">
        <f>(International_Education_Costs!$G365+International_Education_Costs!$I365+International_Education_Costs!$J365+International_Education_Costs!$K365)*International_Education_Costs!$L365</f>
        <v>51224</v>
      </c>
      <c r="N365" s="7">
        <f>International_Education_Costs!$G365+International_Education_Costs!$I365+International_Education_Costs!$J365+International_Education_Costs!$K365</f>
        <v>33700</v>
      </c>
    </row>
    <row r="366" spans="1:14" x14ac:dyDescent="0.3">
      <c r="A366" s="4" t="s">
        <v>25</v>
      </c>
      <c r="B366" s="4" t="s">
        <v>26</v>
      </c>
      <c r="C366" s="4" t="s">
        <v>620</v>
      </c>
      <c r="D366" s="4" t="s">
        <v>15</v>
      </c>
      <c r="E366" s="4" t="s">
        <v>75</v>
      </c>
      <c r="F366" s="4">
        <v>3</v>
      </c>
      <c r="G366" s="5">
        <v>37200</v>
      </c>
      <c r="H366" s="24">
        <v>72.8</v>
      </c>
      <c r="I366" s="16">
        <v>1600</v>
      </c>
      <c r="J366" s="5">
        <v>450</v>
      </c>
      <c r="K366" s="5">
        <v>650</v>
      </c>
      <c r="L366" s="5">
        <v>1.52</v>
      </c>
      <c r="M366" s="5">
        <f>(International_Education_Costs!$G366+International_Education_Costs!$I366+International_Education_Costs!$J366+International_Education_Costs!$K366)*International_Education_Costs!$L366</f>
        <v>60648</v>
      </c>
      <c r="N366" s="5">
        <f>International_Education_Costs!$G366+International_Education_Costs!$I366+International_Education_Costs!$J366+International_Education_Costs!$K366</f>
        <v>39900</v>
      </c>
    </row>
    <row r="367" spans="1:14" x14ac:dyDescent="0.3">
      <c r="A367" s="6" t="s">
        <v>25</v>
      </c>
      <c r="B367" s="6" t="s">
        <v>26</v>
      </c>
      <c r="C367" s="6" t="s">
        <v>620</v>
      </c>
      <c r="D367" s="6" t="s">
        <v>15</v>
      </c>
      <c r="E367" s="6" t="s">
        <v>16</v>
      </c>
      <c r="F367" s="6">
        <v>2</v>
      </c>
      <c r="G367" s="7">
        <v>40200</v>
      </c>
      <c r="H367" s="25">
        <v>72.8</v>
      </c>
      <c r="I367" s="17">
        <v>1600</v>
      </c>
      <c r="J367" s="7">
        <v>450</v>
      </c>
      <c r="K367" s="7">
        <v>650</v>
      </c>
      <c r="L367" s="7">
        <v>1.52</v>
      </c>
      <c r="M367" s="7">
        <f>(International_Education_Costs!$G367+International_Education_Costs!$I367+International_Education_Costs!$J367+International_Education_Costs!$K367)*International_Education_Costs!$L367</f>
        <v>65208</v>
      </c>
      <c r="N367" s="7">
        <f>International_Education_Costs!$G367+International_Education_Costs!$I367+International_Education_Costs!$J367+International_Education_Costs!$K367</f>
        <v>42900</v>
      </c>
    </row>
    <row r="368" spans="1:14" x14ac:dyDescent="0.3">
      <c r="A368" s="4" t="s">
        <v>25</v>
      </c>
      <c r="B368" s="4" t="s">
        <v>26</v>
      </c>
      <c r="C368" s="4" t="s">
        <v>620</v>
      </c>
      <c r="D368" s="4" t="s">
        <v>15</v>
      </c>
      <c r="E368" s="4" t="s">
        <v>122</v>
      </c>
      <c r="F368" s="4">
        <v>4</v>
      </c>
      <c r="G368" s="5">
        <v>30200</v>
      </c>
      <c r="H368" s="24">
        <v>72.8</v>
      </c>
      <c r="I368" s="16">
        <v>1600</v>
      </c>
      <c r="J368" s="5">
        <v>450</v>
      </c>
      <c r="K368" s="5">
        <v>650</v>
      </c>
      <c r="L368" s="5">
        <v>1.52</v>
      </c>
      <c r="M368" s="5">
        <f>(International_Education_Costs!$G368+International_Education_Costs!$I368+International_Education_Costs!$J368+International_Education_Costs!$K368)*International_Education_Costs!$L368</f>
        <v>50008</v>
      </c>
      <c r="N368" s="5">
        <f>International_Education_Costs!$G368+International_Education_Costs!$I368+International_Education_Costs!$J368+International_Education_Costs!$K368</f>
        <v>32900</v>
      </c>
    </row>
    <row r="369" spans="1:14" x14ac:dyDescent="0.3">
      <c r="A369" s="6" t="s">
        <v>25</v>
      </c>
      <c r="B369" s="6" t="s">
        <v>234</v>
      </c>
      <c r="C369" s="6" t="s">
        <v>235</v>
      </c>
      <c r="D369" s="6" t="s">
        <v>15</v>
      </c>
      <c r="E369" s="6" t="s">
        <v>75</v>
      </c>
      <c r="F369" s="6">
        <v>3</v>
      </c>
      <c r="G369" s="7">
        <v>36800</v>
      </c>
      <c r="H369" s="25">
        <v>65.8</v>
      </c>
      <c r="I369" s="17">
        <v>1300</v>
      </c>
      <c r="J369" s="7">
        <v>450</v>
      </c>
      <c r="K369" s="7">
        <v>650</v>
      </c>
      <c r="L369" s="7">
        <v>1.52</v>
      </c>
      <c r="M369" s="7">
        <f>(International_Education_Costs!$G369+International_Education_Costs!$I369+International_Education_Costs!$J369+International_Education_Costs!$K369)*International_Education_Costs!$L369</f>
        <v>59584</v>
      </c>
      <c r="N369" s="7">
        <f>International_Education_Costs!$G369+International_Education_Costs!$I369+International_Education_Costs!$J369+International_Education_Costs!$K369</f>
        <v>39200</v>
      </c>
    </row>
    <row r="370" spans="1:14" x14ac:dyDescent="0.3">
      <c r="A370" s="4" t="s">
        <v>25</v>
      </c>
      <c r="B370" s="4" t="s">
        <v>234</v>
      </c>
      <c r="C370" s="4" t="s">
        <v>235</v>
      </c>
      <c r="D370" s="4" t="s">
        <v>15</v>
      </c>
      <c r="E370" s="4" t="s">
        <v>16</v>
      </c>
      <c r="F370" s="4">
        <v>2</v>
      </c>
      <c r="G370" s="5">
        <v>39800</v>
      </c>
      <c r="H370" s="24">
        <v>65.8</v>
      </c>
      <c r="I370" s="16">
        <v>1300</v>
      </c>
      <c r="J370" s="5">
        <v>450</v>
      </c>
      <c r="K370" s="5">
        <v>650</v>
      </c>
      <c r="L370" s="5">
        <v>1.52</v>
      </c>
      <c r="M370" s="5">
        <f>(International_Education_Costs!$G370+International_Education_Costs!$I370+International_Education_Costs!$J370+International_Education_Costs!$K370)*International_Education_Costs!$L370</f>
        <v>64144</v>
      </c>
      <c r="N370" s="5">
        <f>International_Education_Costs!$G370+International_Education_Costs!$I370+International_Education_Costs!$J370+International_Education_Costs!$K370</f>
        <v>42200</v>
      </c>
    </row>
    <row r="371" spans="1:14" x14ac:dyDescent="0.3">
      <c r="A371" s="6" t="s">
        <v>25</v>
      </c>
      <c r="B371" s="6" t="s">
        <v>234</v>
      </c>
      <c r="C371" s="6" t="s">
        <v>235</v>
      </c>
      <c r="D371" s="6" t="s">
        <v>15</v>
      </c>
      <c r="E371" s="6" t="s">
        <v>122</v>
      </c>
      <c r="F371" s="6">
        <v>4</v>
      </c>
      <c r="G371" s="7">
        <v>29800</v>
      </c>
      <c r="H371" s="25">
        <v>65.8</v>
      </c>
      <c r="I371" s="17">
        <v>1300</v>
      </c>
      <c r="J371" s="7">
        <v>450</v>
      </c>
      <c r="K371" s="7">
        <v>650</v>
      </c>
      <c r="L371" s="7">
        <v>1.52</v>
      </c>
      <c r="M371" s="7">
        <f>(International_Education_Costs!$G371+International_Education_Costs!$I371+International_Education_Costs!$J371+International_Education_Costs!$K371)*International_Education_Costs!$L371</f>
        <v>48944</v>
      </c>
      <c r="N371" s="7">
        <f>International_Education_Costs!$G371+International_Education_Costs!$I371+International_Education_Costs!$J371+International_Education_Costs!$K371</f>
        <v>32200</v>
      </c>
    </row>
    <row r="372" spans="1:14" x14ac:dyDescent="0.3">
      <c r="A372" s="4" t="s">
        <v>25</v>
      </c>
      <c r="B372" s="4" t="s">
        <v>232</v>
      </c>
      <c r="C372" s="4" t="s">
        <v>233</v>
      </c>
      <c r="D372" s="4" t="s">
        <v>15</v>
      </c>
      <c r="E372" s="4" t="s">
        <v>75</v>
      </c>
      <c r="F372" s="4">
        <v>3</v>
      </c>
      <c r="G372" s="5">
        <v>36200</v>
      </c>
      <c r="H372" s="24">
        <v>66.2</v>
      </c>
      <c r="I372" s="16">
        <v>1300</v>
      </c>
      <c r="J372" s="5">
        <v>450</v>
      </c>
      <c r="K372" s="5">
        <v>650</v>
      </c>
      <c r="L372" s="5">
        <v>1.52</v>
      </c>
      <c r="M372" s="5">
        <f>(International_Education_Costs!$G372+International_Education_Costs!$I372+International_Education_Costs!$J372+International_Education_Costs!$K372)*International_Education_Costs!$L372</f>
        <v>58672</v>
      </c>
      <c r="N372" s="5">
        <f>International_Education_Costs!$G372+International_Education_Costs!$I372+International_Education_Costs!$J372+International_Education_Costs!$K372</f>
        <v>38600</v>
      </c>
    </row>
    <row r="373" spans="1:14" x14ac:dyDescent="0.3">
      <c r="A373" s="6" t="s">
        <v>25</v>
      </c>
      <c r="B373" s="6" t="s">
        <v>232</v>
      </c>
      <c r="C373" s="6" t="s">
        <v>233</v>
      </c>
      <c r="D373" s="6" t="s">
        <v>15</v>
      </c>
      <c r="E373" s="6" t="s">
        <v>16</v>
      </c>
      <c r="F373" s="6">
        <v>2</v>
      </c>
      <c r="G373" s="7">
        <v>39200</v>
      </c>
      <c r="H373" s="25">
        <v>66.2</v>
      </c>
      <c r="I373" s="17">
        <v>1300</v>
      </c>
      <c r="J373" s="7">
        <v>450</v>
      </c>
      <c r="K373" s="7">
        <v>650</v>
      </c>
      <c r="L373" s="7">
        <v>1.52</v>
      </c>
      <c r="M373" s="7">
        <f>(International_Education_Costs!$G373+International_Education_Costs!$I373+International_Education_Costs!$J373+International_Education_Costs!$K373)*International_Education_Costs!$L373</f>
        <v>63232</v>
      </c>
      <c r="N373" s="7">
        <f>International_Education_Costs!$G373+International_Education_Costs!$I373+International_Education_Costs!$J373+International_Education_Costs!$K373</f>
        <v>41600</v>
      </c>
    </row>
    <row r="374" spans="1:14" x14ac:dyDescent="0.3">
      <c r="A374" s="4" t="s">
        <v>25</v>
      </c>
      <c r="B374" s="4" t="s">
        <v>232</v>
      </c>
      <c r="C374" s="4" t="s">
        <v>233</v>
      </c>
      <c r="D374" s="4" t="s">
        <v>15</v>
      </c>
      <c r="E374" s="4" t="s">
        <v>122</v>
      </c>
      <c r="F374" s="4">
        <v>4</v>
      </c>
      <c r="G374" s="5">
        <v>29200</v>
      </c>
      <c r="H374" s="24">
        <v>66.2</v>
      </c>
      <c r="I374" s="16">
        <v>1300</v>
      </c>
      <c r="J374" s="5">
        <v>450</v>
      </c>
      <c r="K374" s="5">
        <v>650</v>
      </c>
      <c r="L374" s="5">
        <v>1.52</v>
      </c>
      <c r="M374" s="5">
        <f>(International_Education_Costs!$G374+International_Education_Costs!$I374+International_Education_Costs!$J374+International_Education_Costs!$K374)*International_Education_Costs!$L374</f>
        <v>48032</v>
      </c>
      <c r="N374" s="5">
        <f>International_Education_Costs!$G374+International_Education_Costs!$I374+International_Education_Costs!$J374+International_Education_Costs!$K374</f>
        <v>31600</v>
      </c>
    </row>
    <row r="375" spans="1:14" x14ac:dyDescent="0.3">
      <c r="A375" s="6" t="s">
        <v>25</v>
      </c>
      <c r="B375" s="6" t="s">
        <v>230</v>
      </c>
      <c r="C375" s="6" t="s">
        <v>231</v>
      </c>
      <c r="D375" s="6" t="s">
        <v>15</v>
      </c>
      <c r="E375" s="6" t="s">
        <v>75</v>
      </c>
      <c r="F375" s="6">
        <v>3</v>
      </c>
      <c r="G375" s="7">
        <v>35800</v>
      </c>
      <c r="H375" s="25">
        <v>64.5</v>
      </c>
      <c r="I375" s="17">
        <v>1200</v>
      </c>
      <c r="J375" s="7">
        <v>450</v>
      </c>
      <c r="K375" s="7">
        <v>650</v>
      </c>
      <c r="L375" s="7">
        <v>1.52</v>
      </c>
      <c r="M375" s="7">
        <f>(International_Education_Costs!$G375+International_Education_Costs!$I375+International_Education_Costs!$J375+International_Education_Costs!$K375)*International_Education_Costs!$L375</f>
        <v>57912</v>
      </c>
      <c r="N375" s="7">
        <f>International_Education_Costs!$G375+International_Education_Costs!$I375+International_Education_Costs!$J375+International_Education_Costs!$K375</f>
        <v>38100</v>
      </c>
    </row>
    <row r="376" spans="1:14" x14ac:dyDescent="0.3">
      <c r="A376" s="4" t="s">
        <v>25</v>
      </c>
      <c r="B376" s="4" t="s">
        <v>230</v>
      </c>
      <c r="C376" s="4" t="s">
        <v>231</v>
      </c>
      <c r="D376" s="4" t="s">
        <v>15</v>
      </c>
      <c r="E376" s="4" t="s">
        <v>16</v>
      </c>
      <c r="F376" s="4">
        <v>2</v>
      </c>
      <c r="G376" s="5">
        <v>38800</v>
      </c>
      <c r="H376" s="24">
        <v>64.5</v>
      </c>
      <c r="I376" s="16">
        <v>1200</v>
      </c>
      <c r="J376" s="5">
        <v>450</v>
      </c>
      <c r="K376" s="5">
        <v>650</v>
      </c>
      <c r="L376" s="5">
        <v>1.52</v>
      </c>
      <c r="M376" s="5">
        <f>(International_Education_Costs!$G376+International_Education_Costs!$I376+International_Education_Costs!$J376+International_Education_Costs!$K376)*International_Education_Costs!$L376</f>
        <v>62472</v>
      </c>
      <c r="N376" s="5">
        <f>International_Education_Costs!$G376+International_Education_Costs!$I376+International_Education_Costs!$J376+International_Education_Costs!$K376</f>
        <v>41100</v>
      </c>
    </row>
    <row r="377" spans="1:14" x14ac:dyDescent="0.3">
      <c r="A377" s="6" t="s">
        <v>25</v>
      </c>
      <c r="B377" s="6" t="s">
        <v>230</v>
      </c>
      <c r="C377" s="6" t="s">
        <v>231</v>
      </c>
      <c r="D377" s="6" t="s">
        <v>15</v>
      </c>
      <c r="E377" s="6" t="s">
        <v>122</v>
      </c>
      <c r="F377" s="6">
        <v>4</v>
      </c>
      <c r="G377" s="7">
        <v>28800</v>
      </c>
      <c r="H377" s="25">
        <v>64.5</v>
      </c>
      <c r="I377" s="17">
        <v>1200</v>
      </c>
      <c r="J377" s="7">
        <v>450</v>
      </c>
      <c r="K377" s="7">
        <v>650</v>
      </c>
      <c r="L377" s="7">
        <v>1.52</v>
      </c>
      <c r="M377" s="7">
        <f>(International_Education_Costs!$G377+International_Education_Costs!$I377+International_Education_Costs!$J377+International_Education_Costs!$K377)*International_Education_Costs!$L377</f>
        <v>47272</v>
      </c>
      <c r="N377" s="7">
        <f>International_Education_Costs!$G377+International_Education_Costs!$I377+International_Education_Costs!$J377+International_Education_Costs!$K377</f>
        <v>31100</v>
      </c>
    </row>
    <row r="378" spans="1:14" x14ac:dyDescent="0.3">
      <c r="A378" s="4" t="s">
        <v>25</v>
      </c>
      <c r="B378" s="4" t="s">
        <v>228</v>
      </c>
      <c r="C378" s="4" t="s">
        <v>229</v>
      </c>
      <c r="D378" s="4" t="s">
        <v>15</v>
      </c>
      <c r="E378" s="4" t="s">
        <v>75</v>
      </c>
      <c r="F378" s="4">
        <v>3</v>
      </c>
      <c r="G378" s="5">
        <v>35200</v>
      </c>
      <c r="H378" s="24">
        <v>68.5</v>
      </c>
      <c r="I378" s="16">
        <v>1400</v>
      </c>
      <c r="J378" s="5">
        <v>450</v>
      </c>
      <c r="K378" s="5">
        <v>650</v>
      </c>
      <c r="L378" s="5">
        <v>1.52</v>
      </c>
      <c r="M378" s="5">
        <f>(International_Education_Costs!$G378+International_Education_Costs!$I378+International_Education_Costs!$J378+International_Education_Costs!$K378)*International_Education_Costs!$L378</f>
        <v>57304</v>
      </c>
      <c r="N378" s="5">
        <f>International_Education_Costs!$G378+International_Education_Costs!$I378+International_Education_Costs!$J378+International_Education_Costs!$K378</f>
        <v>37700</v>
      </c>
    </row>
    <row r="379" spans="1:14" x14ac:dyDescent="0.3">
      <c r="A379" s="6" t="s">
        <v>25</v>
      </c>
      <c r="B379" s="6" t="s">
        <v>228</v>
      </c>
      <c r="C379" s="6" t="s">
        <v>229</v>
      </c>
      <c r="D379" s="6" t="s">
        <v>15</v>
      </c>
      <c r="E379" s="6" t="s">
        <v>16</v>
      </c>
      <c r="F379" s="6">
        <v>2</v>
      </c>
      <c r="G379" s="7">
        <v>38200</v>
      </c>
      <c r="H379" s="25">
        <v>68.5</v>
      </c>
      <c r="I379" s="17">
        <v>1400</v>
      </c>
      <c r="J379" s="7">
        <v>450</v>
      </c>
      <c r="K379" s="7">
        <v>650</v>
      </c>
      <c r="L379" s="7">
        <v>1.52</v>
      </c>
      <c r="M379" s="7">
        <f>(International_Education_Costs!$G379+International_Education_Costs!$I379+International_Education_Costs!$J379+International_Education_Costs!$K379)*International_Education_Costs!$L379</f>
        <v>61864</v>
      </c>
      <c r="N379" s="7">
        <f>International_Education_Costs!$G379+International_Education_Costs!$I379+International_Education_Costs!$J379+International_Education_Costs!$K379</f>
        <v>40700</v>
      </c>
    </row>
    <row r="380" spans="1:14" x14ac:dyDescent="0.3">
      <c r="A380" s="4" t="s">
        <v>25</v>
      </c>
      <c r="B380" s="4" t="s">
        <v>228</v>
      </c>
      <c r="C380" s="4" t="s">
        <v>229</v>
      </c>
      <c r="D380" s="4" t="s">
        <v>15</v>
      </c>
      <c r="E380" s="4" t="s">
        <v>122</v>
      </c>
      <c r="F380" s="4">
        <v>4</v>
      </c>
      <c r="G380" s="5">
        <v>28200</v>
      </c>
      <c r="H380" s="24">
        <v>68.5</v>
      </c>
      <c r="I380" s="16">
        <v>1400</v>
      </c>
      <c r="J380" s="5">
        <v>450</v>
      </c>
      <c r="K380" s="5">
        <v>650</v>
      </c>
      <c r="L380" s="5">
        <v>1.52</v>
      </c>
      <c r="M380" s="5">
        <f>(International_Education_Costs!$G380+International_Education_Costs!$I380+International_Education_Costs!$J380+International_Education_Costs!$K380)*International_Education_Costs!$L380</f>
        <v>46664</v>
      </c>
      <c r="N380" s="5">
        <f>International_Education_Costs!$G380+International_Education_Costs!$I380+International_Education_Costs!$J380+International_Education_Costs!$K380</f>
        <v>30700</v>
      </c>
    </row>
    <row r="381" spans="1:14" x14ac:dyDescent="0.3">
      <c r="A381" s="6" t="s">
        <v>25</v>
      </c>
      <c r="B381" s="6" t="s">
        <v>142</v>
      </c>
      <c r="C381" s="6" t="s">
        <v>621</v>
      </c>
      <c r="D381" s="6" t="s">
        <v>15</v>
      </c>
      <c r="E381" s="6" t="s">
        <v>75</v>
      </c>
      <c r="F381" s="6">
        <v>3</v>
      </c>
      <c r="G381" s="7">
        <v>34800</v>
      </c>
      <c r="H381" s="25">
        <v>68.900000000000006</v>
      </c>
      <c r="I381" s="17">
        <v>1500</v>
      </c>
      <c r="J381" s="7">
        <v>450</v>
      </c>
      <c r="K381" s="7">
        <v>650</v>
      </c>
      <c r="L381" s="7">
        <v>1.52</v>
      </c>
      <c r="M381" s="7">
        <f>(International_Education_Costs!$G381+International_Education_Costs!$I381+International_Education_Costs!$J381+International_Education_Costs!$K381)*International_Education_Costs!$L381</f>
        <v>56848</v>
      </c>
      <c r="N381" s="7">
        <f>International_Education_Costs!$G381+International_Education_Costs!$I381+International_Education_Costs!$J381+International_Education_Costs!$K381</f>
        <v>37400</v>
      </c>
    </row>
    <row r="382" spans="1:14" x14ac:dyDescent="0.3">
      <c r="A382" s="4" t="s">
        <v>25</v>
      </c>
      <c r="B382" s="4" t="s">
        <v>142</v>
      </c>
      <c r="C382" s="4" t="s">
        <v>621</v>
      </c>
      <c r="D382" s="4" t="s">
        <v>15</v>
      </c>
      <c r="E382" s="4" t="s">
        <v>16</v>
      </c>
      <c r="F382" s="4">
        <v>2</v>
      </c>
      <c r="G382" s="5">
        <v>37800</v>
      </c>
      <c r="H382" s="24">
        <v>68.900000000000006</v>
      </c>
      <c r="I382" s="16">
        <v>1500</v>
      </c>
      <c r="J382" s="5">
        <v>450</v>
      </c>
      <c r="K382" s="5">
        <v>650</v>
      </c>
      <c r="L382" s="5">
        <v>1.52</v>
      </c>
      <c r="M382" s="5">
        <f>(International_Education_Costs!$G382+International_Education_Costs!$I382+International_Education_Costs!$J382+International_Education_Costs!$K382)*International_Education_Costs!$L382</f>
        <v>61408</v>
      </c>
      <c r="N382" s="5">
        <f>International_Education_Costs!$G382+International_Education_Costs!$I382+International_Education_Costs!$J382+International_Education_Costs!$K382</f>
        <v>40400</v>
      </c>
    </row>
    <row r="383" spans="1:14" x14ac:dyDescent="0.3">
      <c r="A383" s="6" t="s">
        <v>25</v>
      </c>
      <c r="B383" s="6" t="s">
        <v>142</v>
      </c>
      <c r="C383" s="6" t="s">
        <v>621</v>
      </c>
      <c r="D383" s="6" t="s">
        <v>15</v>
      </c>
      <c r="E383" s="6" t="s">
        <v>122</v>
      </c>
      <c r="F383" s="6">
        <v>4</v>
      </c>
      <c r="G383" s="7">
        <v>27800</v>
      </c>
      <c r="H383" s="25">
        <v>68.900000000000006</v>
      </c>
      <c r="I383" s="17">
        <v>1500</v>
      </c>
      <c r="J383" s="7">
        <v>450</v>
      </c>
      <c r="K383" s="7">
        <v>650</v>
      </c>
      <c r="L383" s="7">
        <v>1.52</v>
      </c>
      <c r="M383" s="7">
        <f>(International_Education_Costs!$G383+International_Education_Costs!$I383+International_Education_Costs!$J383+International_Education_Costs!$K383)*International_Education_Costs!$L383</f>
        <v>46208</v>
      </c>
      <c r="N383" s="7">
        <f>International_Education_Costs!$G383+International_Education_Costs!$I383+International_Education_Costs!$J383+International_Education_Costs!$K383</f>
        <v>30400</v>
      </c>
    </row>
    <row r="384" spans="1:14" x14ac:dyDescent="0.3">
      <c r="A384" s="4" t="s">
        <v>25</v>
      </c>
      <c r="B384" s="4" t="s">
        <v>238</v>
      </c>
      <c r="C384" s="4" t="s">
        <v>239</v>
      </c>
      <c r="D384" s="4" t="s">
        <v>15</v>
      </c>
      <c r="E384" s="4" t="s">
        <v>75</v>
      </c>
      <c r="F384" s="4">
        <v>3</v>
      </c>
      <c r="G384" s="5">
        <v>34200</v>
      </c>
      <c r="H384" s="24">
        <v>65.2</v>
      </c>
      <c r="I384" s="16">
        <v>1200</v>
      </c>
      <c r="J384" s="5">
        <v>450</v>
      </c>
      <c r="K384" s="5">
        <v>650</v>
      </c>
      <c r="L384" s="5">
        <v>1.52</v>
      </c>
      <c r="M384" s="5">
        <f>(International_Education_Costs!$G384+International_Education_Costs!$I384+International_Education_Costs!$J384+International_Education_Costs!$K384)*International_Education_Costs!$L384</f>
        <v>55480</v>
      </c>
      <c r="N384" s="5">
        <f>International_Education_Costs!$G384+International_Education_Costs!$I384+International_Education_Costs!$J384+International_Education_Costs!$K384</f>
        <v>36500</v>
      </c>
    </row>
    <row r="385" spans="1:14" x14ac:dyDescent="0.3">
      <c r="A385" s="6" t="s">
        <v>25</v>
      </c>
      <c r="B385" s="6" t="s">
        <v>238</v>
      </c>
      <c r="C385" s="6" t="s">
        <v>239</v>
      </c>
      <c r="D385" s="6" t="s">
        <v>15</v>
      </c>
      <c r="E385" s="6" t="s">
        <v>16</v>
      </c>
      <c r="F385" s="6">
        <v>2</v>
      </c>
      <c r="G385" s="7">
        <v>37200</v>
      </c>
      <c r="H385" s="25">
        <v>65.2</v>
      </c>
      <c r="I385" s="17">
        <v>1200</v>
      </c>
      <c r="J385" s="7">
        <v>450</v>
      </c>
      <c r="K385" s="7">
        <v>650</v>
      </c>
      <c r="L385" s="7">
        <v>1.52</v>
      </c>
      <c r="M385" s="7">
        <f>(International_Education_Costs!$G385+International_Education_Costs!$I385+International_Education_Costs!$J385+International_Education_Costs!$K385)*International_Education_Costs!$L385</f>
        <v>60040</v>
      </c>
      <c r="N385" s="7">
        <f>International_Education_Costs!$G385+International_Education_Costs!$I385+International_Education_Costs!$J385+International_Education_Costs!$K385</f>
        <v>39500</v>
      </c>
    </row>
    <row r="386" spans="1:14" x14ac:dyDescent="0.3">
      <c r="A386" s="4" t="s">
        <v>25</v>
      </c>
      <c r="B386" s="4" t="s">
        <v>238</v>
      </c>
      <c r="C386" s="4" t="s">
        <v>239</v>
      </c>
      <c r="D386" s="4" t="s">
        <v>15</v>
      </c>
      <c r="E386" s="4" t="s">
        <v>122</v>
      </c>
      <c r="F386" s="4">
        <v>4</v>
      </c>
      <c r="G386" s="5">
        <v>27200</v>
      </c>
      <c r="H386" s="24">
        <v>65.2</v>
      </c>
      <c r="I386" s="16">
        <v>1200</v>
      </c>
      <c r="J386" s="5">
        <v>450</v>
      </c>
      <c r="K386" s="5">
        <v>650</v>
      </c>
      <c r="L386" s="5">
        <v>1.52</v>
      </c>
      <c r="M386" s="5">
        <f>(International_Education_Costs!$G386+International_Education_Costs!$I386+International_Education_Costs!$J386+International_Education_Costs!$K386)*International_Education_Costs!$L386</f>
        <v>44840</v>
      </c>
      <c r="N386" s="5">
        <f>International_Education_Costs!$G386+International_Education_Costs!$I386+International_Education_Costs!$J386+International_Education_Costs!$K386</f>
        <v>29500</v>
      </c>
    </row>
    <row r="387" spans="1:14" x14ac:dyDescent="0.3">
      <c r="A387" s="6" t="s">
        <v>25</v>
      </c>
      <c r="B387" s="6" t="s">
        <v>243</v>
      </c>
      <c r="C387" s="6" t="s">
        <v>244</v>
      </c>
      <c r="D387" s="6" t="s">
        <v>15</v>
      </c>
      <c r="E387" s="6" t="s">
        <v>75</v>
      </c>
      <c r="F387" s="6">
        <v>3</v>
      </c>
      <c r="G387" s="7">
        <v>33800</v>
      </c>
      <c r="H387" s="25">
        <v>63.8</v>
      </c>
      <c r="I387" s="17">
        <v>1100</v>
      </c>
      <c r="J387" s="7">
        <v>450</v>
      </c>
      <c r="K387" s="7">
        <v>650</v>
      </c>
      <c r="L387" s="7">
        <v>1.52</v>
      </c>
      <c r="M387" s="7">
        <f>(International_Education_Costs!$G387+International_Education_Costs!$I387+International_Education_Costs!$J387+International_Education_Costs!$K387)*International_Education_Costs!$L387</f>
        <v>54720</v>
      </c>
      <c r="N387" s="7">
        <f>International_Education_Costs!$G387+International_Education_Costs!$I387+International_Education_Costs!$J387+International_Education_Costs!$K387</f>
        <v>36000</v>
      </c>
    </row>
    <row r="388" spans="1:14" x14ac:dyDescent="0.3">
      <c r="A388" s="4" t="s">
        <v>25</v>
      </c>
      <c r="B388" s="4" t="s">
        <v>243</v>
      </c>
      <c r="C388" s="4" t="s">
        <v>244</v>
      </c>
      <c r="D388" s="4" t="s">
        <v>15</v>
      </c>
      <c r="E388" s="4" t="s">
        <v>16</v>
      </c>
      <c r="F388" s="4">
        <v>2</v>
      </c>
      <c r="G388" s="5">
        <v>36800</v>
      </c>
      <c r="H388" s="24">
        <v>63.8</v>
      </c>
      <c r="I388" s="16">
        <v>1100</v>
      </c>
      <c r="J388" s="5">
        <v>450</v>
      </c>
      <c r="K388" s="5">
        <v>650</v>
      </c>
      <c r="L388" s="5">
        <v>1.52</v>
      </c>
      <c r="M388" s="5">
        <f>(International_Education_Costs!$G388+International_Education_Costs!$I388+International_Education_Costs!$J388+International_Education_Costs!$K388)*International_Education_Costs!$L388</f>
        <v>59280</v>
      </c>
      <c r="N388" s="5">
        <f>International_Education_Costs!$G388+International_Education_Costs!$I388+International_Education_Costs!$J388+International_Education_Costs!$K388</f>
        <v>39000</v>
      </c>
    </row>
    <row r="389" spans="1:14" x14ac:dyDescent="0.3">
      <c r="A389" s="6" t="s">
        <v>25</v>
      </c>
      <c r="B389" s="6" t="s">
        <v>243</v>
      </c>
      <c r="C389" s="6" t="s">
        <v>244</v>
      </c>
      <c r="D389" s="6" t="s">
        <v>15</v>
      </c>
      <c r="E389" s="6" t="s">
        <v>122</v>
      </c>
      <c r="F389" s="6">
        <v>4</v>
      </c>
      <c r="G389" s="7">
        <v>26800</v>
      </c>
      <c r="H389" s="25">
        <v>63.8</v>
      </c>
      <c r="I389" s="17">
        <v>1100</v>
      </c>
      <c r="J389" s="7">
        <v>450</v>
      </c>
      <c r="K389" s="7">
        <v>650</v>
      </c>
      <c r="L389" s="7">
        <v>1.52</v>
      </c>
      <c r="M389" s="7">
        <f>(International_Education_Costs!$G389+International_Education_Costs!$I389+International_Education_Costs!$J389+International_Education_Costs!$K389)*International_Education_Costs!$L389</f>
        <v>44080</v>
      </c>
      <c r="N389" s="7">
        <f>International_Education_Costs!$G389+International_Education_Costs!$I389+International_Education_Costs!$J389+International_Education_Costs!$K389</f>
        <v>29000</v>
      </c>
    </row>
    <row r="390" spans="1:14" x14ac:dyDescent="0.3">
      <c r="A390" s="4" t="s">
        <v>25</v>
      </c>
      <c r="B390" s="4" t="s">
        <v>622</v>
      </c>
      <c r="C390" s="4" t="s">
        <v>623</v>
      </c>
      <c r="D390" s="4" t="s">
        <v>15</v>
      </c>
      <c r="E390" s="4" t="s">
        <v>75</v>
      </c>
      <c r="F390" s="4">
        <v>3</v>
      </c>
      <c r="G390" s="5">
        <v>33200</v>
      </c>
      <c r="H390" s="24">
        <v>64.2</v>
      </c>
      <c r="I390" s="16">
        <v>1100</v>
      </c>
      <c r="J390" s="5">
        <v>450</v>
      </c>
      <c r="K390" s="5">
        <v>650</v>
      </c>
      <c r="L390" s="5">
        <v>1.52</v>
      </c>
      <c r="M390" s="5">
        <f>(International_Education_Costs!$G390+International_Education_Costs!$I390+International_Education_Costs!$J390+International_Education_Costs!$K390)*International_Education_Costs!$L390</f>
        <v>53808</v>
      </c>
      <c r="N390" s="5">
        <f>International_Education_Costs!$G390+International_Education_Costs!$I390+International_Education_Costs!$J390+International_Education_Costs!$K390</f>
        <v>35400</v>
      </c>
    </row>
    <row r="391" spans="1:14" x14ac:dyDescent="0.3">
      <c r="A391" s="6" t="s">
        <v>25</v>
      </c>
      <c r="B391" s="6" t="s">
        <v>622</v>
      </c>
      <c r="C391" s="6" t="s">
        <v>623</v>
      </c>
      <c r="D391" s="6" t="s">
        <v>15</v>
      </c>
      <c r="E391" s="6" t="s">
        <v>16</v>
      </c>
      <c r="F391" s="6">
        <v>2</v>
      </c>
      <c r="G391" s="7">
        <v>36200</v>
      </c>
      <c r="H391" s="25">
        <v>64.2</v>
      </c>
      <c r="I391" s="17">
        <v>1100</v>
      </c>
      <c r="J391" s="7">
        <v>450</v>
      </c>
      <c r="K391" s="7">
        <v>650</v>
      </c>
      <c r="L391" s="7">
        <v>1.52</v>
      </c>
      <c r="M391" s="7">
        <f>(International_Education_Costs!$G391+International_Education_Costs!$I391+International_Education_Costs!$J391+International_Education_Costs!$K391)*International_Education_Costs!$L391</f>
        <v>58368</v>
      </c>
      <c r="N391" s="7">
        <f>International_Education_Costs!$G391+International_Education_Costs!$I391+International_Education_Costs!$J391+International_Education_Costs!$K391</f>
        <v>38400</v>
      </c>
    </row>
    <row r="392" spans="1:14" x14ac:dyDescent="0.3">
      <c r="A392" s="4" t="s">
        <v>25</v>
      </c>
      <c r="B392" s="4" t="s">
        <v>622</v>
      </c>
      <c r="C392" s="4" t="s">
        <v>623</v>
      </c>
      <c r="D392" s="4" t="s">
        <v>15</v>
      </c>
      <c r="E392" s="4" t="s">
        <v>122</v>
      </c>
      <c r="F392" s="4">
        <v>4</v>
      </c>
      <c r="G392" s="5">
        <v>26200</v>
      </c>
      <c r="H392" s="24">
        <v>64.2</v>
      </c>
      <c r="I392" s="16">
        <v>1100</v>
      </c>
      <c r="J392" s="5">
        <v>450</v>
      </c>
      <c r="K392" s="5">
        <v>650</v>
      </c>
      <c r="L392" s="5">
        <v>1.52</v>
      </c>
      <c r="M392" s="5">
        <f>(International_Education_Costs!$G392+International_Education_Costs!$I392+International_Education_Costs!$J392+International_Education_Costs!$K392)*International_Education_Costs!$L392</f>
        <v>43168</v>
      </c>
      <c r="N392" s="5">
        <f>International_Education_Costs!$G392+International_Education_Costs!$I392+International_Education_Costs!$J392+International_Education_Costs!$K392</f>
        <v>28400</v>
      </c>
    </row>
    <row r="393" spans="1:14" x14ac:dyDescent="0.3">
      <c r="A393" s="6" t="s">
        <v>25</v>
      </c>
      <c r="B393" s="6" t="s">
        <v>624</v>
      </c>
      <c r="C393" s="6" t="s">
        <v>625</v>
      </c>
      <c r="D393" s="6" t="s">
        <v>15</v>
      </c>
      <c r="E393" s="6" t="s">
        <v>75</v>
      </c>
      <c r="F393" s="6">
        <v>3</v>
      </c>
      <c r="G393" s="7">
        <v>32800</v>
      </c>
      <c r="H393" s="25">
        <v>63.5</v>
      </c>
      <c r="I393" s="17">
        <v>1000</v>
      </c>
      <c r="J393" s="7">
        <v>450</v>
      </c>
      <c r="K393" s="7">
        <v>650</v>
      </c>
      <c r="L393" s="7">
        <v>1.52</v>
      </c>
      <c r="M393" s="7">
        <f>(International_Education_Costs!$G393+International_Education_Costs!$I393+International_Education_Costs!$J393+International_Education_Costs!$K393)*International_Education_Costs!$L393</f>
        <v>53048</v>
      </c>
      <c r="N393" s="7">
        <f>International_Education_Costs!$G393+International_Education_Costs!$I393+International_Education_Costs!$J393+International_Education_Costs!$K393</f>
        <v>34900</v>
      </c>
    </row>
    <row r="394" spans="1:14" x14ac:dyDescent="0.3">
      <c r="A394" s="4" t="s">
        <v>25</v>
      </c>
      <c r="B394" s="4" t="s">
        <v>624</v>
      </c>
      <c r="C394" s="4" t="s">
        <v>625</v>
      </c>
      <c r="D394" s="4" t="s">
        <v>15</v>
      </c>
      <c r="E394" s="4" t="s">
        <v>16</v>
      </c>
      <c r="F394" s="4">
        <v>2</v>
      </c>
      <c r="G394" s="5">
        <v>35800</v>
      </c>
      <c r="H394" s="24">
        <v>63.5</v>
      </c>
      <c r="I394" s="16">
        <v>1000</v>
      </c>
      <c r="J394" s="5">
        <v>450</v>
      </c>
      <c r="K394" s="5">
        <v>650</v>
      </c>
      <c r="L394" s="5">
        <v>1.52</v>
      </c>
      <c r="M394" s="5">
        <f>(International_Education_Costs!$G394+International_Education_Costs!$I394+International_Education_Costs!$J394+International_Education_Costs!$K394)*International_Education_Costs!$L394</f>
        <v>57608</v>
      </c>
      <c r="N394" s="5">
        <f>International_Education_Costs!$G394+International_Education_Costs!$I394+International_Education_Costs!$J394+International_Education_Costs!$K394</f>
        <v>37900</v>
      </c>
    </row>
    <row r="395" spans="1:14" x14ac:dyDescent="0.3">
      <c r="A395" s="6" t="s">
        <v>25</v>
      </c>
      <c r="B395" s="6" t="s">
        <v>624</v>
      </c>
      <c r="C395" s="6" t="s">
        <v>625</v>
      </c>
      <c r="D395" s="6" t="s">
        <v>15</v>
      </c>
      <c r="E395" s="6" t="s">
        <v>122</v>
      </c>
      <c r="F395" s="6">
        <v>4</v>
      </c>
      <c r="G395" s="7">
        <v>25800</v>
      </c>
      <c r="H395" s="25">
        <v>63.5</v>
      </c>
      <c r="I395" s="17">
        <v>1000</v>
      </c>
      <c r="J395" s="7">
        <v>450</v>
      </c>
      <c r="K395" s="7">
        <v>650</v>
      </c>
      <c r="L395" s="7">
        <v>1.52</v>
      </c>
      <c r="M395" s="7">
        <f>(International_Education_Costs!$G395+International_Education_Costs!$I395+International_Education_Costs!$J395+International_Education_Costs!$K395)*International_Education_Costs!$L395</f>
        <v>42408</v>
      </c>
      <c r="N395" s="7">
        <f>International_Education_Costs!$G395+International_Education_Costs!$I395+International_Education_Costs!$J395+International_Education_Costs!$K395</f>
        <v>27900</v>
      </c>
    </row>
    <row r="396" spans="1:14" x14ac:dyDescent="0.3">
      <c r="A396" s="4" t="s">
        <v>25</v>
      </c>
      <c r="B396" s="4" t="s">
        <v>626</v>
      </c>
      <c r="C396" s="4" t="s">
        <v>627</v>
      </c>
      <c r="D396" s="4" t="s">
        <v>15</v>
      </c>
      <c r="E396" s="4" t="s">
        <v>75</v>
      </c>
      <c r="F396" s="4">
        <v>3</v>
      </c>
      <c r="G396" s="5">
        <v>32200</v>
      </c>
      <c r="H396" s="24">
        <v>63.2</v>
      </c>
      <c r="I396" s="16">
        <v>1000</v>
      </c>
      <c r="J396" s="5">
        <v>450</v>
      </c>
      <c r="K396" s="5">
        <v>650</v>
      </c>
      <c r="L396" s="5">
        <v>1.52</v>
      </c>
      <c r="M396" s="5">
        <f>(International_Education_Costs!$G396+International_Education_Costs!$I396+International_Education_Costs!$J396+International_Education_Costs!$K396)*International_Education_Costs!$L396</f>
        <v>52136</v>
      </c>
      <c r="N396" s="5">
        <f>International_Education_Costs!$G396+International_Education_Costs!$I396+International_Education_Costs!$J396+International_Education_Costs!$K396</f>
        <v>34300</v>
      </c>
    </row>
    <row r="397" spans="1:14" x14ac:dyDescent="0.3">
      <c r="A397" s="6" t="s">
        <v>25</v>
      </c>
      <c r="B397" s="6" t="s">
        <v>626</v>
      </c>
      <c r="C397" s="6" t="s">
        <v>627</v>
      </c>
      <c r="D397" s="6" t="s">
        <v>15</v>
      </c>
      <c r="E397" s="6" t="s">
        <v>16</v>
      </c>
      <c r="F397" s="6">
        <v>2</v>
      </c>
      <c r="G397" s="7">
        <v>35200</v>
      </c>
      <c r="H397" s="25">
        <v>63.2</v>
      </c>
      <c r="I397" s="17">
        <v>1000</v>
      </c>
      <c r="J397" s="7">
        <v>450</v>
      </c>
      <c r="K397" s="7">
        <v>650</v>
      </c>
      <c r="L397" s="7">
        <v>1.52</v>
      </c>
      <c r="M397" s="7">
        <f>(International_Education_Costs!$G397+International_Education_Costs!$I397+International_Education_Costs!$J397+International_Education_Costs!$K397)*International_Education_Costs!$L397</f>
        <v>56696</v>
      </c>
      <c r="N397" s="7">
        <f>International_Education_Costs!$G397+International_Education_Costs!$I397+International_Education_Costs!$J397+International_Education_Costs!$K397</f>
        <v>37300</v>
      </c>
    </row>
    <row r="398" spans="1:14" x14ac:dyDescent="0.3">
      <c r="A398" s="4" t="s">
        <v>25</v>
      </c>
      <c r="B398" s="4" t="s">
        <v>626</v>
      </c>
      <c r="C398" s="4" t="s">
        <v>627</v>
      </c>
      <c r="D398" s="4" t="s">
        <v>15</v>
      </c>
      <c r="E398" s="4" t="s">
        <v>122</v>
      </c>
      <c r="F398" s="4">
        <v>4</v>
      </c>
      <c r="G398" s="5">
        <v>25200</v>
      </c>
      <c r="H398" s="24">
        <v>63.2</v>
      </c>
      <c r="I398" s="16">
        <v>1000</v>
      </c>
      <c r="J398" s="5">
        <v>450</v>
      </c>
      <c r="K398" s="5">
        <v>650</v>
      </c>
      <c r="L398" s="5">
        <v>1.52</v>
      </c>
      <c r="M398" s="5">
        <f>(International_Education_Costs!$G398+International_Education_Costs!$I398+International_Education_Costs!$J398+International_Education_Costs!$K398)*International_Education_Costs!$L398</f>
        <v>41496</v>
      </c>
      <c r="N398" s="5">
        <f>International_Education_Costs!$G398+International_Education_Costs!$I398+International_Education_Costs!$J398+International_Education_Costs!$K398</f>
        <v>27300</v>
      </c>
    </row>
    <row r="399" spans="1:14" x14ac:dyDescent="0.3">
      <c r="A399" s="6" t="s">
        <v>12</v>
      </c>
      <c r="B399" s="6" t="s">
        <v>123</v>
      </c>
      <c r="C399" s="6" t="s">
        <v>124</v>
      </c>
      <c r="D399" s="6" t="s">
        <v>15</v>
      </c>
      <c r="E399" s="6" t="s">
        <v>16</v>
      </c>
      <c r="F399" s="6">
        <v>2</v>
      </c>
      <c r="G399" s="7">
        <v>58000</v>
      </c>
      <c r="H399" s="25">
        <v>82.1</v>
      </c>
      <c r="I399" s="17">
        <v>2100</v>
      </c>
      <c r="J399" s="7">
        <v>160</v>
      </c>
      <c r="K399" s="7">
        <v>1500</v>
      </c>
      <c r="L399" s="7">
        <v>1</v>
      </c>
      <c r="M399" s="7">
        <f>(International_Education_Costs!$G399+International_Education_Costs!$I399+International_Education_Costs!$J399+International_Education_Costs!$K399)*International_Education_Costs!$L399</f>
        <v>61760</v>
      </c>
      <c r="N399" s="7">
        <f>International_Education_Costs!$G399+International_Education_Costs!$I399+International_Education_Costs!$J399+International_Education_Costs!$K399</f>
        <v>61760</v>
      </c>
    </row>
    <row r="400" spans="1:14" x14ac:dyDescent="0.3">
      <c r="A400" s="4" t="s">
        <v>17</v>
      </c>
      <c r="B400" s="4" t="s">
        <v>18</v>
      </c>
      <c r="C400" s="4" t="s">
        <v>19</v>
      </c>
      <c r="D400" s="4" t="s">
        <v>20</v>
      </c>
      <c r="E400" s="4" t="s">
        <v>16</v>
      </c>
      <c r="F400" s="4">
        <v>1</v>
      </c>
      <c r="G400" s="5">
        <v>42000</v>
      </c>
      <c r="H400" s="24">
        <v>75.3</v>
      </c>
      <c r="I400" s="16">
        <v>1800</v>
      </c>
      <c r="J400" s="5">
        <v>485</v>
      </c>
      <c r="K400" s="5">
        <v>800</v>
      </c>
      <c r="L400" s="5">
        <v>0.79</v>
      </c>
      <c r="M400" s="5">
        <f>(International_Education_Costs!$G400+International_Education_Costs!$I400+International_Education_Costs!$J400+International_Education_Costs!$K400)*International_Education_Costs!$L400</f>
        <v>35617.15</v>
      </c>
      <c r="N400" s="5">
        <f>International_Education_Costs!$G400+International_Education_Costs!$I400+International_Education_Costs!$J400+International_Education_Costs!$K400</f>
        <v>45085</v>
      </c>
    </row>
    <row r="401" spans="1:14" x14ac:dyDescent="0.3">
      <c r="A401" s="6" t="s">
        <v>29</v>
      </c>
      <c r="B401" s="6" t="s">
        <v>30</v>
      </c>
      <c r="C401" s="6" t="s">
        <v>628</v>
      </c>
      <c r="D401" s="6" t="s">
        <v>32</v>
      </c>
      <c r="E401" s="6" t="s">
        <v>16</v>
      </c>
      <c r="F401" s="6">
        <v>2</v>
      </c>
      <c r="G401" s="7">
        <v>0</v>
      </c>
      <c r="H401" s="25">
        <v>71.5</v>
      </c>
      <c r="I401" s="17">
        <v>1200</v>
      </c>
      <c r="J401" s="7">
        <v>110</v>
      </c>
      <c r="K401" s="7">
        <v>900</v>
      </c>
      <c r="L401" s="7">
        <v>0.92</v>
      </c>
      <c r="M401" s="7">
        <f>(International_Education_Costs!$G401+International_Education_Costs!$I401+International_Education_Costs!$J401+International_Education_Costs!$K401)*International_Education_Costs!$L401</f>
        <v>2033.2</v>
      </c>
      <c r="N401" s="7">
        <f>International_Education_Costs!$G401+International_Education_Costs!$I401+International_Education_Costs!$J401+International_Education_Costs!$K401</f>
        <v>2210</v>
      </c>
    </row>
    <row r="402" spans="1:14" x14ac:dyDescent="0.3">
      <c r="A402" s="4" t="s">
        <v>21</v>
      </c>
      <c r="B402" s="4" t="s">
        <v>22</v>
      </c>
      <c r="C402" s="4" t="s">
        <v>23</v>
      </c>
      <c r="D402" s="4" t="s">
        <v>24</v>
      </c>
      <c r="E402" s="4" t="s">
        <v>16</v>
      </c>
      <c r="F402" s="4">
        <v>2</v>
      </c>
      <c r="G402" s="5">
        <v>45000</v>
      </c>
      <c r="H402" s="24">
        <v>73.8</v>
      </c>
      <c r="I402" s="16">
        <v>1700</v>
      </c>
      <c r="J402" s="5">
        <v>235</v>
      </c>
      <c r="K402" s="5">
        <v>750</v>
      </c>
      <c r="L402" s="5">
        <v>1.35</v>
      </c>
      <c r="M402" s="5">
        <f>(International_Education_Costs!$G402+International_Education_Costs!$I402+International_Education_Costs!$J402+International_Education_Costs!$K402)*International_Education_Costs!$L402</f>
        <v>64374.750000000007</v>
      </c>
      <c r="N402" s="5">
        <f>International_Education_Costs!$G402+International_Education_Costs!$I402+International_Education_Costs!$J402+International_Education_Costs!$K402</f>
        <v>47685</v>
      </c>
    </row>
    <row r="403" spans="1:14" x14ac:dyDescent="0.3">
      <c r="A403" s="6" t="s">
        <v>25</v>
      </c>
      <c r="B403" s="6" t="s">
        <v>26</v>
      </c>
      <c r="C403" s="6" t="s">
        <v>27</v>
      </c>
      <c r="D403" s="6" t="s">
        <v>40</v>
      </c>
      <c r="E403" s="6" t="s">
        <v>122</v>
      </c>
      <c r="F403" s="6">
        <v>4</v>
      </c>
      <c r="G403" s="7">
        <v>29000</v>
      </c>
      <c r="H403" s="25">
        <v>72.400000000000006</v>
      </c>
      <c r="I403" s="17">
        <v>1500</v>
      </c>
      <c r="J403" s="7">
        <v>450</v>
      </c>
      <c r="K403" s="7">
        <v>650</v>
      </c>
      <c r="L403" s="7">
        <v>1.52</v>
      </c>
      <c r="M403" s="7">
        <f>(International_Education_Costs!$G403+International_Education_Costs!$I403+International_Education_Costs!$J403+International_Education_Costs!$K403)*International_Education_Costs!$L403</f>
        <v>48032</v>
      </c>
      <c r="N403" s="7">
        <f>International_Education_Costs!$G403+International_Education_Costs!$I403+International_Education_Costs!$J403+International_Education_Costs!$K403</f>
        <v>31600</v>
      </c>
    </row>
    <row r="404" spans="1:14" x14ac:dyDescent="0.3">
      <c r="A404" s="4" t="s">
        <v>12</v>
      </c>
      <c r="B404" s="4" t="s">
        <v>120</v>
      </c>
      <c r="C404" s="4" t="s">
        <v>121</v>
      </c>
      <c r="D404" s="4" t="s">
        <v>51</v>
      </c>
      <c r="E404" s="4" t="s">
        <v>122</v>
      </c>
      <c r="F404" s="4">
        <v>5</v>
      </c>
      <c r="G404" s="5">
        <v>52000</v>
      </c>
      <c r="H404" s="24">
        <v>84.3</v>
      </c>
      <c r="I404" s="16">
        <v>2300</v>
      </c>
      <c r="J404" s="5">
        <v>160</v>
      </c>
      <c r="K404" s="5">
        <v>1500</v>
      </c>
      <c r="L404" s="5">
        <v>1</v>
      </c>
      <c r="M404" s="5">
        <f>(International_Education_Costs!$G404+International_Education_Costs!$I404+International_Education_Costs!$J404+International_Education_Costs!$K404)*International_Education_Costs!$L404</f>
        <v>55960</v>
      </c>
      <c r="N404" s="5">
        <f>International_Education_Costs!$G404+International_Education_Costs!$I404+International_Education_Costs!$J404+International_Education_Costs!$K404</f>
        <v>55960</v>
      </c>
    </row>
    <row r="405" spans="1:14" x14ac:dyDescent="0.3">
      <c r="A405" s="6" t="s">
        <v>17</v>
      </c>
      <c r="B405" s="6" t="s">
        <v>530</v>
      </c>
      <c r="C405" s="6" t="s">
        <v>531</v>
      </c>
      <c r="D405" s="6" t="s">
        <v>629</v>
      </c>
      <c r="E405" s="6" t="s">
        <v>16</v>
      </c>
      <c r="F405" s="6">
        <v>2</v>
      </c>
      <c r="G405" s="7">
        <v>38000</v>
      </c>
      <c r="H405" s="25">
        <v>67.8</v>
      </c>
      <c r="I405" s="17">
        <v>1100</v>
      </c>
      <c r="J405" s="7">
        <v>485</v>
      </c>
      <c r="K405" s="7">
        <v>800</v>
      </c>
      <c r="L405" s="7">
        <v>0.79</v>
      </c>
      <c r="M405" s="7">
        <f>(International_Education_Costs!$G405+International_Education_Costs!$I405+International_Education_Costs!$J405+International_Education_Costs!$K405)*International_Education_Costs!$L405</f>
        <v>31904.15</v>
      </c>
      <c r="N405" s="7">
        <f>International_Education_Costs!$G405+International_Education_Costs!$I405+International_Education_Costs!$J405+International_Education_Costs!$K405</f>
        <v>40385</v>
      </c>
    </row>
    <row r="406" spans="1:14" x14ac:dyDescent="0.3">
      <c r="A406" s="4" t="s">
        <v>29</v>
      </c>
      <c r="B406" s="4" t="s">
        <v>181</v>
      </c>
      <c r="C406" s="4" t="s">
        <v>630</v>
      </c>
      <c r="D406" s="4" t="s">
        <v>15</v>
      </c>
      <c r="E406" s="4" t="s">
        <v>75</v>
      </c>
      <c r="F406" s="4">
        <v>3</v>
      </c>
      <c r="G406" s="5">
        <v>0</v>
      </c>
      <c r="H406" s="24">
        <v>68.900000000000006</v>
      </c>
      <c r="I406" s="16">
        <v>950</v>
      </c>
      <c r="J406" s="5">
        <v>110</v>
      </c>
      <c r="K406" s="5">
        <v>900</v>
      </c>
      <c r="L406" s="5">
        <v>0.92</v>
      </c>
      <c r="M406" s="5">
        <f>(International_Education_Costs!$G406+International_Education_Costs!$I406+International_Education_Costs!$J406+International_Education_Costs!$K406)*International_Education_Costs!$L406</f>
        <v>1803.2</v>
      </c>
      <c r="N406" s="5">
        <f>International_Education_Costs!$G406+International_Education_Costs!$I406+International_Education_Costs!$J406+International_Education_Costs!$K406</f>
        <v>1960</v>
      </c>
    </row>
    <row r="407" spans="1:14" x14ac:dyDescent="0.3">
      <c r="A407" s="6" t="s">
        <v>21</v>
      </c>
      <c r="B407" s="6" t="s">
        <v>176</v>
      </c>
      <c r="C407" s="6" t="s">
        <v>177</v>
      </c>
      <c r="D407" s="6" t="s">
        <v>199</v>
      </c>
      <c r="E407" s="6" t="s">
        <v>16</v>
      </c>
      <c r="F407" s="6">
        <v>2</v>
      </c>
      <c r="G407" s="7">
        <v>42000</v>
      </c>
      <c r="H407" s="25">
        <v>71.2</v>
      </c>
      <c r="I407" s="17">
        <v>1600</v>
      </c>
      <c r="J407" s="7">
        <v>235</v>
      </c>
      <c r="K407" s="7">
        <v>750</v>
      </c>
      <c r="L407" s="7">
        <v>1.35</v>
      </c>
      <c r="M407" s="7">
        <f>(International_Education_Costs!$G407+International_Education_Costs!$I407+International_Education_Costs!$J407+International_Education_Costs!$K407)*International_Education_Costs!$L407</f>
        <v>60189.750000000007</v>
      </c>
      <c r="N407" s="7">
        <f>International_Education_Costs!$G407+International_Education_Costs!$I407+International_Education_Costs!$J407+International_Education_Costs!$K407</f>
        <v>44585</v>
      </c>
    </row>
    <row r="408" spans="1:14" x14ac:dyDescent="0.3">
      <c r="A408" s="4" t="s">
        <v>25</v>
      </c>
      <c r="B408" s="4" t="s">
        <v>179</v>
      </c>
      <c r="C408" s="4" t="s">
        <v>180</v>
      </c>
      <c r="D408" s="4" t="s">
        <v>631</v>
      </c>
      <c r="E408" s="4" t="s">
        <v>122</v>
      </c>
      <c r="F408" s="4">
        <v>4</v>
      </c>
      <c r="G408" s="5">
        <v>31000</v>
      </c>
      <c r="H408" s="24">
        <v>75.599999999999994</v>
      </c>
      <c r="I408" s="16">
        <v>1700</v>
      </c>
      <c r="J408" s="5">
        <v>450</v>
      </c>
      <c r="K408" s="5">
        <v>650</v>
      </c>
      <c r="L408" s="5">
        <v>1.52</v>
      </c>
      <c r="M408" s="5">
        <f>(International_Education_Costs!$G408+International_Education_Costs!$I408+International_Education_Costs!$J408+International_Education_Costs!$K408)*International_Education_Costs!$L408</f>
        <v>51376</v>
      </c>
      <c r="N408" s="5">
        <f>International_Education_Costs!$G408+International_Education_Costs!$I408+International_Education_Costs!$J408+International_Education_Costs!$K408</f>
        <v>33800</v>
      </c>
    </row>
    <row r="409" spans="1:14" x14ac:dyDescent="0.3">
      <c r="A409" s="6" t="s">
        <v>12</v>
      </c>
      <c r="B409" s="6" t="s">
        <v>171</v>
      </c>
      <c r="C409" s="6" t="s">
        <v>172</v>
      </c>
      <c r="D409" s="6" t="s">
        <v>99</v>
      </c>
      <c r="E409" s="6" t="s">
        <v>16</v>
      </c>
      <c r="F409" s="6">
        <v>2</v>
      </c>
      <c r="G409" s="7">
        <v>54000</v>
      </c>
      <c r="H409" s="25">
        <v>83.2</v>
      </c>
      <c r="I409" s="17">
        <v>2000</v>
      </c>
      <c r="J409" s="7">
        <v>160</v>
      </c>
      <c r="K409" s="7">
        <v>1500</v>
      </c>
      <c r="L409" s="7">
        <v>1</v>
      </c>
      <c r="M409" s="7">
        <f>(International_Education_Costs!$G409+International_Education_Costs!$I409+International_Education_Costs!$J409+International_Education_Costs!$K409)*International_Education_Costs!$L409</f>
        <v>57660</v>
      </c>
      <c r="N409" s="7">
        <f>International_Education_Costs!$G409+International_Education_Costs!$I409+International_Education_Costs!$J409+International_Education_Costs!$K409</f>
        <v>57660</v>
      </c>
    </row>
    <row r="410" spans="1:14" x14ac:dyDescent="0.3">
      <c r="A410" s="4" t="s">
        <v>17</v>
      </c>
      <c r="B410" s="4" t="s">
        <v>173</v>
      </c>
      <c r="C410" s="4" t="s">
        <v>174</v>
      </c>
      <c r="D410" s="4" t="s">
        <v>28</v>
      </c>
      <c r="E410" s="4" t="s">
        <v>75</v>
      </c>
      <c r="F410" s="4">
        <v>3</v>
      </c>
      <c r="G410" s="5">
        <v>35000</v>
      </c>
      <c r="H410" s="24">
        <v>65.400000000000006</v>
      </c>
      <c r="I410" s="16">
        <v>900</v>
      </c>
      <c r="J410" s="5">
        <v>485</v>
      </c>
      <c r="K410" s="5">
        <v>800</v>
      </c>
      <c r="L410" s="5">
        <v>0.79</v>
      </c>
      <c r="M410" s="5">
        <f>(International_Education_Costs!$G410+International_Education_Costs!$I410+International_Education_Costs!$J410+International_Education_Costs!$K410)*International_Education_Costs!$L410</f>
        <v>29376.15</v>
      </c>
      <c r="N410" s="5">
        <f>International_Education_Costs!$G410+International_Education_Costs!$I410+International_Education_Costs!$J410+International_Education_Costs!$K410</f>
        <v>37185</v>
      </c>
    </row>
    <row r="411" spans="1:14" x14ac:dyDescent="0.3">
      <c r="A411" s="6" t="s">
        <v>29</v>
      </c>
      <c r="B411" s="6" t="s">
        <v>250</v>
      </c>
      <c r="C411" s="6" t="s">
        <v>632</v>
      </c>
      <c r="D411" s="6" t="s">
        <v>51</v>
      </c>
      <c r="E411" s="6" t="s">
        <v>16</v>
      </c>
      <c r="F411" s="6">
        <v>2</v>
      </c>
      <c r="G411" s="7">
        <v>0</v>
      </c>
      <c r="H411" s="25">
        <v>69.8</v>
      </c>
      <c r="I411" s="17">
        <v>1100</v>
      </c>
      <c r="J411" s="7">
        <v>110</v>
      </c>
      <c r="K411" s="7">
        <v>900</v>
      </c>
      <c r="L411" s="7">
        <v>0.92</v>
      </c>
      <c r="M411" s="7">
        <f>(International_Education_Costs!$G411+International_Education_Costs!$I411+International_Education_Costs!$J411+International_Education_Costs!$K411)*International_Education_Costs!$L411</f>
        <v>1941.2</v>
      </c>
      <c r="N411" s="7">
        <f>International_Education_Costs!$G411+International_Education_Costs!$I411+International_Education_Costs!$J411+International_Education_Costs!$K411</f>
        <v>2110</v>
      </c>
    </row>
    <row r="412" spans="1:14" x14ac:dyDescent="0.3">
      <c r="A412" s="4" t="s">
        <v>21</v>
      </c>
      <c r="B412" s="4" t="s">
        <v>597</v>
      </c>
      <c r="C412" s="4" t="s">
        <v>598</v>
      </c>
      <c r="D412" s="4" t="s">
        <v>15</v>
      </c>
      <c r="E412" s="4" t="s">
        <v>122</v>
      </c>
      <c r="F412" s="4">
        <v>4</v>
      </c>
      <c r="G412" s="5">
        <v>38000</v>
      </c>
      <c r="H412" s="24">
        <v>68.900000000000006</v>
      </c>
      <c r="I412" s="16">
        <v>1400</v>
      </c>
      <c r="J412" s="5">
        <v>235</v>
      </c>
      <c r="K412" s="5">
        <v>750</v>
      </c>
      <c r="L412" s="5">
        <v>1.35</v>
      </c>
      <c r="M412" s="5">
        <f>(International_Education_Costs!$G412+International_Education_Costs!$I412+International_Education_Costs!$J412+International_Education_Costs!$K412)*International_Education_Costs!$L412</f>
        <v>54519.75</v>
      </c>
      <c r="N412" s="5">
        <f>International_Education_Costs!$G412+International_Education_Costs!$I412+International_Education_Costs!$J412+International_Education_Costs!$K412</f>
        <v>40385</v>
      </c>
    </row>
    <row r="413" spans="1:14" x14ac:dyDescent="0.3">
      <c r="A413" s="6" t="s">
        <v>25</v>
      </c>
      <c r="B413" s="6" t="s">
        <v>614</v>
      </c>
      <c r="C413" s="6" t="s">
        <v>615</v>
      </c>
      <c r="D413" s="6" t="s">
        <v>20</v>
      </c>
      <c r="E413" s="6" t="s">
        <v>16</v>
      </c>
      <c r="F413" s="6">
        <v>2</v>
      </c>
      <c r="G413" s="7">
        <v>32000</v>
      </c>
      <c r="H413" s="25">
        <v>68.7</v>
      </c>
      <c r="I413" s="17">
        <v>1200</v>
      </c>
      <c r="J413" s="7">
        <v>450</v>
      </c>
      <c r="K413" s="7">
        <v>650</v>
      </c>
      <c r="L413" s="7">
        <v>1.52</v>
      </c>
      <c r="M413" s="7">
        <f>(International_Education_Costs!$G413+International_Education_Costs!$I413+International_Education_Costs!$J413+International_Education_Costs!$K413)*International_Education_Costs!$L413</f>
        <v>52136</v>
      </c>
      <c r="N413" s="7">
        <f>International_Education_Costs!$G413+International_Education_Costs!$I413+International_Education_Costs!$J413+International_Education_Costs!$K413</f>
        <v>34300</v>
      </c>
    </row>
    <row r="414" spans="1:14" x14ac:dyDescent="0.3">
      <c r="A414" s="4" t="s">
        <v>12</v>
      </c>
      <c r="B414" s="4" t="s">
        <v>358</v>
      </c>
      <c r="C414" s="4" t="s">
        <v>359</v>
      </c>
      <c r="D414" s="4" t="s">
        <v>175</v>
      </c>
      <c r="E414" s="4" t="s">
        <v>16</v>
      </c>
      <c r="F414" s="4">
        <v>2</v>
      </c>
      <c r="G414" s="5">
        <v>62000</v>
      </c>
      <c r="H414" s="24">
        <v>100</v>
      </c>
      <c r="I414" s="16">
        <v>2500</v>
      </c>
      <c r="J414" s="5">
        <v>160</v>
      </c>
      <c r="K414" s="5">
        <v>1500</v>
      </c>
      <c r="L414" s="5">
        <v>1</v>
      </c>
      <c r="M414" s="5">
        <f>(International_Education_Costs!$G414+International_Education_Costs!$I414+International_Education_Costs!$J414+International_Education_Costs!$K414)*International_Education_Costs!$L414</f>
        <v>66160</v>
      </c>
      <c r="N414" s="5">
        <f>International_Education_Costs!$G414+International_Education_Costs!$I414+International_Education_Costs!$J414+International_Education_Costs!$K414</f>
        <v>66160</v>
      </c>
    </row>
    <row r="415" spans="1:14" x14ac:dyDescent="0.3">
      <c r="A415" s="6" t="s">
        <v>17</v>
      </c>
      <c r="B415" s="6" t="s">
        <v>126</v>
      </c>
      <c r="C415" s="6" t="s">
        <v>127</v>
      </c>
      <c r="D415" s="6" t="s">
        <v>15</v>
      </c>
      <c r="E415" s="6" t="s">
        <v>122</v>
      </c>
      <c r="F415" s="6">
        <v>4</v>
      </c>
      <c r="G415" s="7">
        <v>40000</v>
      </c>
      <c r="H415" s="25">
        <v>71.5</v>
      </c>
      <c r="I415" s="17">
        <v>1400</v>
      </c>
      <c r="J415" s="7">
        <v>485</v>
      </c>
      <c r="K415" s="7">
        <v>800</v>
      </c>
      <c r="L415" s="7">
        <v>0.79</v>
      </c>
      <c r="M415" s="7">
        <f>(International_Education_Costs!$G415+International_Education_Costs!$I415+International_Education_Costs!$J415+International_Education_Costs!$K415)*International_Education_Costs!$L415</f>
        <v>33721.15</v>
      </c>
      <c r="N415" s="7">
        <f>International_Education_Costs!$G415+International_Education_Costs!$I415+International_Education_Costs!$J415+International_Education_Costs!$K415</f>
        <v>42685</v>
      </c>
    </row>
    <row r="416" spans="1:14" x14ac:dyDescent="0.3">
      <c r="A416" s="4" t="s">
        <v>29</v>
      </c>
      <c r="B416" s="4" t="s">
        <v>246</v>
      </c>
      <c r="C416" s="4" t="s">
        <v>247</v>
      </c>
      <c r="D416" s="4" t="s">
        <v>32</v>
      </c>
      <c r="E416" s="4" t="s">
        <v>75</v>
      </c>
      <c r="F416" s="4">
        <v>3</v>
      </c>
      <c r="G416" s="5">
        <v>0</v>
      </c>
      <c r="H416" s="24">
        <v>65.400000000000006</v>
      </c>
      <c r="I416" s="16">
        <v>800</v>
      </c>
      <c r="J416" s="5">
        <v>110</v>
      </c>
      <c r="K416" s="5">
        <v>900</v>
      </c>
      <c r="L416" s="5">
        <v>0.92</v>
      </c>
      <c r="M416" s="5">
        <f>(International_Education_Costs!$G416+International_Education_Costs!$I416+International_Education_Costs!$J416+International_Education_Costs!$K416)*International_Education_Costs!$L416</f>
        <v>1665.2</v>
      </c>
      <c r="N416" s="5">
        <f>International_Education_Costs!$G416+International_Education_Costs!$I416+International_Education_Costs!$J416+International_Education_Costs!$K416</f>
        <v>1810</v>
      </c>
    </row>
    <row r="417" spans="1:14" x14ac:dyDescent="0.3">
      <c r="A417" s="6" t="s">
        <v>21</v>
      </c>
      <c r="B417" s="6" t="s">
        <v>100</v>
      </c>
      <c r="C417" s="6" t="s">
        <v>101</v>
      </c>
      <c r="D417" s="6" t="s">
        <v>40</v>
      </c>
      <c r="E417" s="6" t="s">
        <v>16</v>
      </c>
      <c r="F417" s="6">
        <v>2</v>
      </c>
      <c r="G417" s="7">
        <v>40000</v>
      </c>
      <c r="H417" s="25">
        <v>67.8</v>
      </c>
      <c r="I417" s="17">
        <v>1300</v>
      </c>
      <c r="J417" s="7">
        <v>235</v>
      </c>
      <c r="K417" s="7">
        <v>750</v>
      </c>
      <c r="L417" s="7">
        <v>1.35</v>
      </c>
      <c r="M417" s="7">
        <f>(International_Education_Costs!$G417+International_Education_Costs!$I417+International_Education_Costs!$J417+International_Education_Costs!$K417)*International_Education_Costs!$L417</f>
        <v>57084.750000000007</v>
      </c>
      <c r="N417" s="7">
        <f>International_Education_Costs!$G417+International_Education_Costs!$I417+International_Education_Costs!$J417+International_Education_Costs!$K417</f>
        <v>42285</v>
      </c>
    </row>
    <row r="418" spans="1:14" x14ac:dyDescent="0.3">
      <c r="A418" s="4" t="s">
        <v>25</v>
      </c>
      <c r="B418" s="4" t="s">
        <v>226</v>
      </c>
      <c r="C418" s="4" t="s">
        <v>227</v>
      </c>
      <c r="D418" s="4" t="s">
        <v>51</v>
      </c>
      <c r="E418" s="4" t="s">
        <v>16</v>
      </c>
      <c r="F418" s="4">
        <v>2</v>
      </c>
      <c r="G418" s="5">
        <v>30000</v>
      </c>
      <c r="H418" s="24">
        <v>67.2</v>
      </c>
      <c r="I418" s="16">
        <v>1100</v>
      </c>
      <c r="J418" s="5">
        <v>450</v>
      </c>
      <c r="K418" s="5">
        <v>650</v>
      </c>
      <c r="L418" s="5">
        <v>1.52</v>
      </c>
      <c r="M418" s="5">
        <f>(International_Education_Costs!$G418+International_Education_Costs!$I418+International_Education_Costs!$J418+International_Education_Costs!$K418)*International_Education_Costs!$L418</f>
        <v>48944</v>
      </c>
      <c r="N418" s="5">
        <f>International_Education_Costs!$G418+International_Education_Costs!$I418+International_Education_Costs!$J418+International_Education_Costs!$K418</f>
        <v>32200</v>
      </c>
    </row>
    <row r="419" spans="1:14" x14ac:dyDescent="0.3">
      <c r="A419" s="6" t="s">
        <v>12</v>
      </c>
      <c r="B419" s="6" t="s">
        <v>91</v>
      </c>
      <c r="C419" s="6" t="s">
        <v>92</v>
      </c>
      <c r="D419" s="6" t="s">
        <v>28</v>
      </c>
      <c r="E419" s="6" t="s">
        <v>122</v>
      </c>
      <c r="F419" s="6">
        <v>5</v>
      </c>
      <c r="G419" s="7">
        <v>48000</v>
      </c>
      <c r="H419" s="25">
        <v>71.2</v>
      </c>
      <c r="I419" s="17">
        <v>1700</v>
      </c>
      <c r="J419" s="7">
        <v>160</v>
      </c>
      <c r="K419" s="7">
        <v>1500</v>
      </c>
      <c r="L419" s="7">
        <v>1</v>
      </c>
      <c r="M419" s="7">
        <f>(International_Education_Costs!$G419+International_Education_Costs!$I419+International_Education_Costs!$J419+International_Education_Costs!$K419)*International_Education_Costs!$L419</f>
        <v>51360</v>
      </c>
      <c r="N419" s="7">
        <f>International_Education_Costs!$G419+International_Education_Costs!$I419+International_Education_Costs!$J419+International_Education_Costs!$K419</f>
        <v>51360</v>
      </c>
    </row>
    <row r="420" spans="1:14" x14ac:dyDescent="0.3">
      <c r="A420" s="4" t="s">
        <v>17</v>
      </c>
      <c r="B420" s="4" t="s">
        <v>97</v>
      </c>
      <c r="C420" s="4" t="s">
        <v>98</v>
      </c>
      <c r="D420" s="4" t="s">
        <v>20</v>
      </c>
      <c r="E420" s="4" t="s">
        <v>16</v>
      </c>
      <c r="F420" s="4">
        <v>2</v>
      </c>
      <c r="G420" s="5">
        <v>36000</v>
      </c>
      <c r="H420" s="24">
        <v>68.900000000000006</v>
      </c>
      <c r="I420" s="16">
        <v>1200</v>
      </c>
      <c r="J420" s="5">
        <v>485</v>
      </c>
      <c r="K420" s="5">
        <v>800</v>
      </c>
      <c r="L420" s="5">
        <v>0.79</v>
      </c>
      <c r="M420" s="5">
        <f>(International_Education_Costs!$G420+International_Education_Costs!$I420+International_Education_Costs!$J420+International_Education_Costs!$K420)*International_Education_Costs!$L420</f>
        <v>30403.15</v>
      </c>
      <c r="N420" s="5">
        <f>International_Education_Costs!$G420+International_Education_Costs!$I420+International_Education_Costs!$J420+International_Education_Costs!$K420</f>
        <v>38485</v>
      </c>
    </row>
    <row r="421" spans="1:14" x14ac:dyDescent="0.3">
      <c r="A421" s="6" t="s">
        <v>29</v>
      </c>
      <c r="B421" s="6" t="s">
        <v>633</v>
      </c>
      <c r="C421" s="6" t="s">
        <v>634</v>
      </c>
      <c r="D421" s="6" t="s">
        <v>15</v>
      </c>
      <c r="E421" s="6" t="s">
        <v>16</v>
      </c>
      <c r="F421" s="6">
        <v>2</v>
      </c>
      <c r="G421" s="7">
        <v>0</v>
      </c>
      <c r="H421" s="25">
        <v>72.3</v>
      </c>
      <c r="I421" s="17">
        <v>1300</v>
      </c>
      <c r="J421" s="7">
        <v>110</v>
      </c>
      <c r="K421" s="7">
        <v>900</v>
      </c>
      <c r="L421" s="7">
        <v>0.92</v>
      </c>
      <c r="M421" s="7">
        <f>(International_Education_Costs!$G421+International_Education_Costs!$I421+International_Education_Costs!$J421+International_Education_Costs!$K421)*International_Education_Costs!$L421</f>
        <v>2125.2000000000003</v>
      </c>
      <c r="N421" s="7">
        <f>International_Education_Costs!$G421+International_Education_Costs!$I421+International_Education_Costs!$J421+International_Education_Costs!$K421</f>
        <v>2310</v>
      </c>
    </row>
    <row r="422" spans="1:14" x14ac:dyDescent="0.3">
      <c r="A422" s="4" t="s">
        <v>21</v>
      </c>
      <c r="B422" s="4" t="s">
        <v>334</v>
      </c>
      <c r="C422" s="4" t="s">
        <v>335</v>
      </c>
      <c r="D422" s="4" t="s">
        <v>99</v>
      </c>
      <c r="E422" s="4" t="s">
        <v>75</v>
      </c>
      <c r="F422" s="4">
        <v>4</v>
      </c>
      <c r="G422" s="5">
        <v>35000</v>
      </c>
      <c r="H422" s="24">
        <v>65.400000000000006</v>
      </c>
      <c r="I422" s="16">
        <v>1200</v>
      </c>
      <c r="J422" s="5">
        <v>235</v>
      </c>
      <c r="K422" s="5">
        <v>750</v>
      </c>
      <c r="L422" s="5">
        <v>1.35</v>
      </c>
      <c r="M422" s="5">
        <f>(International_Education_Costs!$G422+International_Education_Costs!$I422+International_Education_Costs!$J422+International_Education_Costs!$K422)*International_Education_Costs!$L422</f>
        <v>50199.75</v>
      </c>
      <c r="N422" s="5">
        <f>International_Education_Costs!$G422+International_Education_Costs!$I422+International_Education_Costs!$J422+International_Education_Costs!$K422</f>
        <v>37185</v>
      </c>
    </row>
    <row r="423" spans="1:14" x14ac:dyDescent="0.3">
      <c r="A423" s="6" t="s">
        <v>25</v>
      </c>
      <c r="B423" s="6" t="s">
        <v>224</v>
      </c>
      <c r="C423" s="6" t="s">
        <v>225</v>
      </c>
      <c r="D423" s="6" t="s">
        <v>629</v>
      </c>
      <c r="E423" s="6" t="s">
        <v>122</v>
      </c>
      <c r="F423" s="6">
        <v>4</v>
      </c>
      <c r="G423" s="7">
        <v>28000</v>
      </c>
      <c r="H423" s="25">
        <v>64.5</v>
      </c>
      <c r="I423" s="17">
        <v>1000</v>
      </c>
      <c r="J423" s="7">
        <v>450</v>
      </c>
      <c r="K423" s="7">
        <v>650</v>
      </c>
      <c r="L423" s="7">
        <v>1.52</v>
      </c>
      <c r="M423" s="7">
        <f>(International_Education_Costs!$G423+International_Education_Costs!$I423+International_Education_Costs!$J423+International_Education_Costs!$K423)*International_Education_Costs!$L423</f>
        <v>45752</v>
      </c>
      <c r="N423" s="7">
        <f>International_Education_Costs!$G423+International_Education_Costs!$I423+International_Education_Costs!$J423+International_Education_Costs!$K423</f>
        <v>30100</v>
      </c>
    </row>
    <row r="424" spans="1:14" x14ac:dyDescent="0.3">
      <c r="A424" s="4" t="s">
        <v>12</v>
      </c>
      <c r="B424" s="4" t="s">
        <v>511</v>
      </c>
      <c r="C424" s="4" t="s">
        <v>512</v>
      </c>
      <c r="D424" s="4" t="s">
        <v>15</v>
      </c>
      <c r="E424" s="4" t="s">
        <v>16</v>
      </c>
      <c r="F424" s="4">
        <v>2</v>
      </c>
      <c r="G424" s="5">
        <v>52000</v>
      </c>
      <c r="H424" s="24">
        <v>79.8</v>
      </c>
      <c r="I424" s="16">
        <v>2200</v>
      </c>
      <c r="J424" s="5">
        <v>160</v>
      </c>
      <c r="K424" s="5">
        <v>1500</v>
      </c>
      <c r="L424" s="5">
        <v>1</v>
      </c>
      <c r="M424" s="5">
        <f>(International_Education_Costs!$G424+International_Education_Costs!$I424+International_Education_Costs!$J424+International_Education_Costs!$K424)*International_Education_Costs!$L424</f>
        <v>55860</v>
      </c>
      <c r="N424" s="5">
        <f>International_Education_Costs!$G424+International_Education_Costs!$I424+International_Education_Costs!$J424+International_Education_Costs!$K424</f>
        <v>55860</v>
      </c>
    </row>
    <row r="425" spans="1:14" x14ac:dyDescent="0.3">
      <c r="A425" s="6" t="s">
        <v>17</v>
      </c>
      <c r="B425" s="6" t="s">
        <v>154</v>
      </c>
      <c r="C425" s="6" t="s">
        <v>155</v>
      </c>
      <c r="D425" s="6" t="s">
        <v>51</v>
      </c>
      <c r="E425" s="6" t="s">
        <v>75</v>
      </c>
      <c r="F425" s="6">
        <v>3</v>
      </c>
      <c r="G425" s="7">
        <v>34000</v>
      </c>
      <c r="H425" s="25">
        <v>64.5</v>
      </c>
      <c r="I425" s="17">
        <v>950</v>
      </c>
      <c r="J425" s="7">
        <v>485</v>
      </c>
      <c r="K425" s="7">
        <v>800</v>
      </c>
      <c r="L425" s="7">
        <v>0.79</v>
      </c>
      <c r="M425" s="7">
        <f>(International_Education_Costs!$G425+International_Education_Costs!$I425+International_Education_Costs!$J425+International_Education_Costs!$K425)*International_Education_Costs!$L425</f>
        <v>28625.65</v>
      </c>
      <c r="N425" s="7">
        <f>International_Education_Costs!$G425+International_Education_Costs!$I425+International_Education_Costs!$J425+International_Education_Costs!$K425</f>
        <v>36235</v>
      </c>
    </row>
    <row r="426" spans="1:14" x14ac:dyDescent="0.3">
      <c r="A426" s="4" t="s">
        <v>29</v>
      </c>
      <c r="B426" s="4" t="s">
        <v>248</v>
      </c>
      <c r="C426" s="4" t="s">
        <v>249</v>
      </c>
      <c r="D426" s="4" t="s">
        <v>28</v>
      </c>
      <c r="E426" s="4" t="s">
        <v>16</v>
      </c>
      <c r="F426" s="4">
        <v>2</v>
      </c>
      <c r="G426" s="5">
        <v>0</v>
      </c>
      <c r="H426" s="24">
        <v>68.7</v>
      </c>
      <c r="I426" s="16">
        <v>1100</v>
      </c>
      <c r="J426" s="5">
        <v>110</v>
      </c>
      <c r="K426" s="5">
        <v>900</v>
      </c>
      <c r="L426" s="5">
        <v>0.92</v>
      </c>
      <c r="M426" s="5">
        <f>(International_Education_Costs!$G426+International_Education_Costs!$I426+International_Education_Costs!$J426+International_Education_Costs!$K426)*International_Education_Costs!$L426</f>
        <v>1941.2</v>
      </c>
      <c r="N426" s="5">
        <f>International_Education_Costs!$G426+International_Education_Costs!$I426+International_Education_Costs!$J426+International_Education_Costs!$K426</f>
        <v>2110</v>
      </c>
    </row>
    <row r="427" spans="1:14" x14ac:dyDescent="0.3">
      <c r="A427" s="6" t="s">
        <v>21</v>
      </c>
      <c r="B427" s="6" t="s">
        <v>152</v>
      </c>
      <c r="C427" s="6" t="s">
        <v>153</v>
      </c>
      <c r="D427" s="6" t="s">
        <v>20</v>
      </c>
      <c r="E427" s="6" t="s">
        <v>16</v>
      </c>
      <c r="F427" s="6">
        <v>2</v>
      </c>
      <c r="G427" s="7">
        <v>37000</v>
      </c>
      <c r="H427" s="25">
        <v>64.3</v>
      </c>
      <c r="I427" s="17">
        <v>1100</v>
      </c>
      <c r="J427" s="7">
        <v>235</v>
      </c>
      <c r="K427" s="7">
        <v>750</v>
      </c>
      <c r="L427" s="7">
        <v>1.35</v>
      </c>
      <c r="M427" s="7">
        <f>(International_Education_Costs!$G427+International_Education_Costs!$I427+International_Education_Costs!$J427+International_Education_Costs!$K427)*International_Education_Costs!$L427</f>
        <v>52764.75</v>
      </c>
      <c r="N427" s="7">
        <f>International_Education_Costs!$G427+International_Education_Costs!$I427+International_Education_Costs!$J427+International_Education_Costs!$K427</f>
        <v>39085</v>
      </c>
    </row>
    <row r="428" spans="1:14" x14ac:dyDescent="0.3">
      <c r="A428" s="4" t="s">
        <v>25</v>
      </c>
      <c r="B428" s="4" t="s">
        <v>142</v>
      </c>
      <c r="C428" s="4" t="s">
        <v>143</v>
      </c>
      <c r="D428" s="4" t="s">
        <v>15</v>
      </c>
      <c r="E428" s="4" t="s">
        <v>122</v>
      </c>
      <c r="F428" s="4">
        <v>4</v>
      </c>
      <c r="G428" s="5">
        <v>33000</v>
      </c>
      <c r="H428" s="24">
        <v>69.8</v>
      </c>
      <c r="I428" s="16">
        <v>1300</v>
      </c>
      <c r="J428" s="5">
        <v>450</v>
      </c>
      <c r="K428" s="5">
        <v>650</v>
      </c>
      <c r="L428" s="5">
        <v>1.52</v>
      </c>
      <c r="M428" s="5">
        <f>(International_Education_Costs!$G428+International_Education_Costs!$I428+International_Education_Costs!$J428+International_Education_Costs!$K428)*International_Education_Costs!$L428</f>
        <v>53808</v>
      </c>
      <c r="N428" s="5">
        <f>International_Education_Costs!$G428+International_Education_Costs!$I428+International_Education_Costs!$J428+International_Education_Costs!$K428</f>
        <v>35400</v>
      </c>
    </row>
    <row r="429" spans="1:14" x14ac:dyDescent="0.3">
      <c r="A429" s="6" t="s">
        <v>12</v>
      </c>
      <c r="B429" s="6" t="s">
        <v>94</v>
      </c>
      <c r="C429" s="6" t="s">
        <v>95</v>
      </c>
      <c r="D429" s="6" t="s">
        <v>99</v>
      </c>
      <c r="E429" s="6" t="s">
        <v>16</v>
      </c>
      <c r="F429" s="6">
        <v>2</v>
      </c>
      <c r="G429" s="7">
        <v>45000</v>
      </c>
      <c r="H429" s="25">
        <v>68.900000000000006</v>
      </c>
      <c r="I429" s="17">
        <v>1600</v>
      </c>
      <c r="J429" s="7">
        <v>160</v>
      </c>
      <c r="K429" s="7">
        <v>1500</v>
      </c>
      <c r="L429" s="7">
        <v>1</v>
      </c>
      <c r="M429" s="7">
        <f>(International_Education_Costs!$G429+International_Education_Costs!$I429+International_Education_Costs!$J429+International_Education_Costs!$K429)*International_Education_Costs!$L429</f>
        <v>48260</v>
      </c>
      <c r="N429" s="7">
        <f>International_Education_Costs!$G429+International_Education_Costs!$I429+International_Education_Costs!$J429+International_Education_Costs!$K429</f>
        <v>48260</v>
      </c>
    </row>
    <row r="430" spans="1:14" x14ac:dyDescent="0.3">
      <c r="A430" s="4" t="s">
        <v>17</v>
      </c>
      <c r="B430" s="4" t="s">
        <v>291</v>
      </c>
      <c r="C430" s="4" t="s">
        <v>292</v>
      </c>
      <c r="D430" s="4" t="s">
        <v>629</v>
      </c>
      <c r="E430" s="4" t="s">
        <v>122</v>
      </c>
      <c r="F430" s="4">
        <v>4</v>
      </c>
      <c r="G430" s="5">
        <v>35000</v>
      </c>
      <c r="H430" s="24">
        <v>63.2</v>
      </c>
      <c r="I430" s="16">
        <v>900</v>
      </c>
      <c r="J430" s="5">
        <v>485</v>
      </c>
      <c r="K430" s="5">
        <v>800</v>
      </c>
      <c r="L430" s="5">
        <v>0.79</v>
      </c>
      <c r="M430" s="5">
        <f>(International_Education_Costs!$G430+International_Education_Costs!$I430+International_Education_Costs!$J430+International_Education_Costs!$K430)*International_Education_Costs!$L430</f>
        <v>29376.15</v>
      </c>
      <c r="N430" s="5">
        <f>International_Education_Costs!$G430+International_Education_Costs!$I430+International_Education_Costs!$J430+International_Education_Costs!$K430</f>
        <v>37185</v>
      </c>
    </row>
    <row r="431" spans="1:14" x14ac:dyDescent="0.3">
      <c r="A431" s="6" t="s">
        <v>29</v>
      </c>
      <c r="B431" s="6" t="s">
        <v>129</v>
      </c>
      <c r="C431" s="6" t="s">
        <v>130</v>
      </c>
      <c r="D431" s="6" t="s">
        <v>51</v>
      </c>
      <c r="E431" s="6" t="s">
        <v>75</v>
      </c>
      <c r="F431" s="6">
        <v>3</v>
      </c>
      <c r="G431" s="7">
        <v>0</v>
      </c>
      <c r="H431" s="25">
        <v>67.8</v>
      </c>
      <c r="I431" s="17">
        <v>1000</v>
      </c>
      <c r="J431" s="7">
        <v>110</v>
      </c>
      <c r="K431" s="7">
        <v>900</v>
      </c>
      <c r="L431" s="7">
        <v>0.92</v>
      </c>
      <c r="M431" s="7">
        <f>(International_Education_Costs!$G431+International_Education_Costs!$I431+International_Education_Costs!$J431+International_Education_Costs!$K431)*International_Education_Costs!$L431</f>
        <v>1849.2</v>
      </c>
      <c r="N431" s="7">
        <f>International_Education_Costs!$G431+International_Education_Costs!$I431+International_Education_Costs!$J431+International_Education_Costs!$K431</f>
        <v>2010</v>
      </c>
    </row>
    <row r="432" spans="1:14" x14ac:dyDescent="0.3">
      <c r="A432" s="4" t="s">
        <v>21</v>
      </c>
      <c r="B432" s="4" t="s">
        <v>314</v>
      </c>
      <c r="C432" s="4" t="s">
        <v>315</v>
      </c>
      <c r="D432" s="4" t="s">
        <v>28</v>
      </c>
      <c r="E432" s="4" t="s">
        <v>16</v>
      </c>
      <c r="F432" s="4">
        <v>2</v>
      </c>
      <c r="G432" s="5">
        <v>36000</v>
      </c>
      <c r="H432" s="24">
        <v>63.4</v>
      </c>
      <c r="I432" s="16">
        <v>1000</v>
      </c>
      <c r="J432" s="5">
        <v>235</v>
      </c>
      <c r="K432" s="5">
        <v>750</v>
      </c>
      <c r="L432" s="5">
        <v>1.35</v>
      </c>
      <c r="M432" s="5">
        <f>(International_Education_Costs!$G432+International_Education_Costs!$I432+International_Education_Costs!$J432+International_Education_Costs!$K432)*International_Education_Costs!$L432</f>
        <v>51279.75</v>
      </c>
      <c r="N432" s="5">
        <f>International_Education_Costs!$G432+International_Education_Costs!$I432+International_Education_Costs!$J432+International_Education_Costs!$K432</f>
        <v>37985</v>
      </c>
    </row>
    <row r="433" spans="1:14" x14ac:dyDescent="0.3">
      <c r="A433" s="6" t="s">
        <v>25</v>
      </c>
      <c r="B433" s="6" t="s">
        <v>228</v>
      </c>
      <c r="C433" s="6" t="s">
        <v>229</v>
      </c>
      <c r="D433" s="6" t="s">
        <v>20</v>
      </c>
      <c r="E433" s="6" t="s">
        <v>16</v>
      </c>
      <c r="F433" s="6">
        <v>2</v>
      </c>
      <c r="G433" s="7">
        <v>29000</v>
      </c>
      <c r="H433" s="25">
        <v>65.400000000000006</v>
      </c>
      <c r="I433" s="17">
        <v>1100</v>
      </c>
      <c r="J433" s="7">
        <v>450</v>
      </c>
      <c r="K433" s="7">
        <v>650</v>
      </c>
      <c r="L433" s="7">
        <v>1.52</v>
      </c>
      <c r="M433" s="7">
        <f>(International_Education_Costs!$G433+International_Education_Costs!$I433+International_Education_Costs!$J433+International_Education_Costs!$K433)*International_Education_Costs!$L433</f>
        <v>47424</v>
      </c>
      <c r="N433" s="7">
        <f>International_Education_Costs!$G433+International_Education_Costs!$I433+International_Education_Costs!$J433+International_Education_Costs!$K433</f>
        <v>31200</v>
      </c>
    </row>
    <row r="434" spans="1:14" x14ac:dyDescent="0.3">
      <c r="A434" s="4" t="s">
        <v>12</v>
      </c>
      <c r="B434" s="4" t="s">
        <v>150</v>
      </c>
      <c r="C434" s="4" t="s">
        <v>151</v>
      </c>
      <c r="D434" s="4" t="s">
        <v>15</v>
      </c>
      <c r="E434" s="4" t="s">
        <v>122</v>
      </c>
      <c r="F434" s="4">
        <v>5</v>
      </c>
      <c r="G434" s="5">
        <v>50000</v>
      </c>
      <c r="H434" s="24">
        <v>77.8</v>
      </c>
      <c r="I434" s="16">
        <v>2000</v>
      </c>
      <c r="J434" s="5">
        <v>160</v>
      </c>
      <c r="K434" s="5">
        <v>1500</v>
      </c>
      <c r="L434" s="5">
        <v>1</v>
      </c>
      <c r="M434" s="5">
        <f>(International_Education_Costs!$G434+International_Education_Costs!$I434+International_Education_Costs!$J434+International_Education_Costs!$K434)*International_Education_Costs!$L434</f>
        <v>53660</v>
      </c>
      <c r="N434" s="5">
        <f>International_Education_Costs!$G434+International_Education_Costs!$I434+International_Education_Costs!$J434+International_Education_Costs!$K434</f>
        <v>53660</v>
      </c>
    </row>
    <row r="435" spans="1:14" x14ac:dyDescent="0.3">
      <c r="A435" s="6" t="s">
        <v>17</v>
      </c>
      <c r="B435" s="6" t="s">
        <v>295</v>
      </c>
      <c r="C435" s="6" t="s">
        <v>296</v>
      </c>
      <c r="D435" s="6" t="s">
        <v>28</v>
      </c>
      <c r="E435" s="6" t="s">
        <v>16</v>
      </c>
      <c r="F435" s="6">
        <v>2</v>
      </c>
      <c r="G435" s="7">
        <v>33000</v>
      </c>
      <c r="H435" s="25">
        <v>62.3</v>
      </c>
      <c r="I435" s="17">
        <v>850</v>
      </c>
      <c r="J435" s="7">
        <v>485</v>
      </c>
      <c r="K435" s="7">
        <v>800</v>
      </c>
      <c r="L435" s="7">
        <v>0.79</v>
      </c>
      <c r="M435" s="7">
        <f>(International_Education_Costs!$G435+International_Education_Costs!$I435+International_Education_Costs!$J435+International_Education_Costs!$K435)*International_Education_Costs!$L435</f>
        <v>27756.65</v>
      </c>
      <c r="N435" s="7">
        <f>International_Education_Costs!$G435+International_Education_Costs!$I435+International_Education_Costs!$J435+International_Education_Costs!$K435</f>
        <v>35135</v>
      </c>
    </row>
    <row r="436" spans="1:14" x14ac:dyDescent="0.3">
      <c r="A436" s="4" t="s">
        <v>29</v>
      </c>
      <c r="B436" s="4" t="s">
        <v>635</v>
      </c>
      <c r="C436" s="4" t="s">
        <v>636</v>
      </c>
      <c r="D436" s="4" t="s">
        <v>99</v>
      </c>
      <c r="E436" s="4" t="s">
        <v>16</v>
      </c>
      <c r="F436" s="4">
        <v>2</v>
      </c>
      <c r="G436" s="5">
        <v>0</v>
      </c>
      <c r="H436" s="24">
        <v>69.8</v>
      </c>
      <c r="I436" s="16">
        <v>1200</v>
      </c>
      <c r="J436" s="5">
        <v>110</v>
      </c>
      <c r="K436" s="5">
        <v>900</v>
      </c>
      <c r="L436" s="5">
        <v>0.92</v>
      </c>
      <c r="M436" s="5">
        <f>(International_Education_Costs!$G436+International_Education_Costs!$I436+International_Education_Costs!$J436+International_Education_Costs!$K436)*International_Education_Costs!$L436</f>
        <v>2033.2</v>
      </c>
      <c r="N436" s="5">
        <f>International_Education_Costs!$G436+International_Education_Costs!$I436+International_Education_Costs!$J436+International_Education_Costs!$K436</f>
        <v>2210</v>
      </c>
    </row>
    <row r="437" spans="1:14" x14ac:dyDescent="0.3">
      <c r="A437" s="6" t="s">
        <v>21</v>
      </c>
      <c r="B437" s="6" t="s">
        <v>318</v>
      </c>
      <c r="C437" s="6" t="s">
        <v>319</v>
      </c>
      <c r="D437" s="6" t="s">
        <v>51</v>
      </c>
      <c r="E437" s="6" t="s">
        <v>75</v>
      </c>
      <c r="F437" s="6">
        <v>3</v>
      </c>
      <c r="G437" s="7">
        <v>34000</v>
      </c>
      <c r="H437" s="25">
        <v>62.1</v>
      </c>
      <c r="I437" s="17">
        <v>900</v>
      </c>
      <c r="J437" s="7">
        <v>235</v>
      </c>
      <c r="K437" s="7">
        <v>750</v>
      </c>
      <c r="L437" s="7">
        <v>1.35</v>
      </c>
      <c r="M437" s="7">
        <f>(International_Education_Costs!$G437+International_Education_Costs!$I437+International_Education_Costs!$J437+International_Education_Costs!$K437)*International_Education_Costs!$L437</f>
        <v>48444.75</v>
      </c>
      <c r="N437" s="7">
        <f>International_Education_Costs!$G437+International_Education_Costs!$I437+International_Education_Costs!$J437+International_Education_Costs!$K437</f>
        <v>35885</v>
      </c>
    </row>
    <row r="438" spans="1:14" x14ac:dyDescent="0.3">
      <c r="A438" s="4" t="s">
        <v>25</v>
      </c>
      <c r="B438" s="4" t="s">
        <v>232</v>
      </c>
      <c r="C438" s="4" t="s">
        <v>233</v>
      </c>
      <c r="D438" s="4" t="s">
        <v>629</v>
      </c>
      <c r="E438" s="4" t="s">
        <v>16</v>
      </c>
      <c r="F438" s="4">
        <v>2</v>
      </c>
      <c r="G438" s="5">
        <v>27000</v>
      </c>
      <c r="H438" s="24">
        <v>63.2</v>
      </c>
      <c r="I438" s="16">
        <v>950</v>
      </c>
      <c r="J438" s="5">
        <v>450</v>
      </c>
      <c r="K438" s="5">
        <v>650</v>
      </c>
      <c r="L438" s="5">
        <v>1.52</v>
      </c>
      <c r="M438" s="5">
        <f>(International_Education_Costs!$G438+International_Education_Costs!$I438+International_Education_Costs!$J438+International_Education_Costs!$K438)*International_Education_Costs!$L438</f>
        <v>44156</v>
      </c>
      <c r="N438" s="5">
        <f>International_Education_Costs!$G438+International_Education_Costs!$I438+International_Education_Costs!$J438+International_Education_Costs!$K438</f>
        <v>29050</v>
      </c>
    </row>
    <row r="439" spans="1:14" x14ac:dyDescent="0.3">
      <c r="A439" s="6" t="s">
        <v>12</v>
      </c>
      <c r="B439" s="6" t="s">
        <v>330</v>
      </c>
      <c r="C439" s="6" t="s">
        <v>331</v>
      </c>
      <c r="D439" s="6" t="s">
        <v>20</v>
      </c>
      <c r="E439" s="6" t="s">
        <v>16</v>
      </c>
      <c r="F439" s="6">
        <v>2</v>
      </c>
      <c r="G439" s="7">
        <v>56000</v>
      </c>
      <c r="H439" s="25">
        <v>65.400000000000006</v>
      </c>
      <c r="I439" s="17">
        <v>1500</v>
      </c>
      <c r="J439" s="7">
        <v>160</v>
      </c>
      <c r="K439" s="7">
        <v>1500</v>
      </c>
      <c r="L439" s="7">
        <v>1</v>
      </c>
      <c r="M439" s="7">
        <f>(International_Education_Costs!$G439+International_Education_Costs!$I439+International_Education_Costs!$J439+International_Education_Costs!$K439)*International_Education_Costs!$L439</f>
        <v>59160</v>
      </c>
      <c r="N439" s="7">
        <f>International_Education_Costs!$G439+International_Education_Costs!$I439+International_Education_Costs!$J439+International_Education_Costs!$K439</f>
        <v>59160</v>
      </c>
    </row>
    <row r="440" spans="1:14" x14ac:dyDescent="0.3">
      <c r="A440" s="4" t="s">
        <v>17</v>
      </c>
      <c r="B440" s="4" t="s">
        <v>302</v>
      </c>
      <c r="C440" s="4" t="s">
        <v>303</v>
      </c>
      <c r="D440" s="4" t="s">
        <v>15</v>
      </c>
      <c r="E440" s="4" t="s">
        <v>122</v>
      </c>
      <c r="F440" s="4">
        <v>4</v>
      </c>
      <c r="G440" s="5">
        <v>34000</v>
      </c>
      <c r="H440" s="24">
        <v>61.2</v>
      </c>
      <c r="I440" s="16">
        <v>800</v>
      </c>
      <c r="J440" s="5">
        <v>485</v>
      </c>
      <c r="K440" s="5">
        <v>800</v>
      </c>
      <c r="L440" s="5">
        <v>0.79</v>
      </c>
      <c r="M440" s="5">
        <f>(International_Education_Costs!$G440+International_Education_Costs!$I440+International_Education_Costs!$J440+International_Education_Costs!$K440)*International_Education_Costs!$L440</f>
        <v>28507.15</v>
      </c>
      <c r="N440" s="5">
        <f>International_Education_Costs!$G440+International_Education_Costs!$I440+International_Education_Costs!$J440+International_Education_Costs!$K440</f>
        <v>36085</v>
      </c>
    </row>
    <row r="441" spans="1:14" x14ac:dyDescent="0.3">
      <c r="A441" s="6" t="s">
        <v>29</v>
      </c>
      <c r="B441" s="6" t="s">
        <v>637</v>
      </c>
      <c r="C441" s="6" t="s">
        <v>638</v>
      </c>
      <c r="D441" s="6" t="s">
        <v>28</v>
      </c>
      <c r="E441" s="6" t="s">
        <v>16</v>
      </c>
      <c r="F441" s="6">
        <v>2</v>
      </c>
      <c r="G441" s="7">
        <v>0</v>
      </c>
      <c r="H441" s="25">
        <v>67.8</v>
      </c>
      <c r="I441" s="17">
        <v>1100</v>
      </c>
      <c r="J441" s="7">
        <v>110</v>
      </c>
      <c r="K441" s="7">
        <v>900</v>
      </c>
      <c r="L441" s="7">
        <v>0.92</v>
      </c>
      <c r="M441" s="7">
        <f>(International_Education_Costs!$G441+International_Education_Costs!$I441+International_Education_Costs!$J441+International_Education_Costs!$K441)*International_Education_Costs!$L441</f>
        <v>1941.2</v>
      </c>
      <c r="N441" s="7">
        <f>International_Education_Costs!$G441+International_Education_Costs!$I441+International_Education_Costs!$J441+International_Education_Costs!$K441</f>
        <v>2110</v>
      </c>
    </row>
    <row r="442" spans="1:14" x14ac:dyDescent="0.3">
      <c r="A442" s="4" t="s">
        <v>21</v>
      </c>
      <c r="B442" s="4" t="s">
        <v>316</v>
      </c>
      <c r="C442" s="4" t="s">
        <v>317</v>
      </c>
      <c r="D442" s="4" t="s">
        <v>99</v>
      </c>
      <c r="E442" s="4" t="s">
        <v>16</v>
      </c>
      <c r="F442" s="4">
        <v>2</v>
      </c>
      <c r="G442" s="5">
        <v>35000</v>
      </c>
      <c r="H442" s="24">
        <v>64.5</v>
      </c>
      <c r="I442" s="16">
        <v>1100</v>
      </c>
      <c r="J442" s="5">
        <v>235</v>
      </c>
      <c r="K442" s="5">
        <v>750</v>
      </c>
      <c r="L442" s="5">
        <v>1.35</v>
      </c>
      <c r="M442" s="5">
        <f>(International_Education_Costs!$G442+International_Education_Costs!$I442+International_Education_Costs!$J442+International_Education_Costs!$K442)*International_Education_Costs!$L442</f>
        <v>50064.75</v>
      </c>
      <c r="N442" s="5">
        <f>International_Education_Costs!$G442+International_Education_Costs!$I442+International_Education_Costs!$J442+International_Education_Costs!$K442</f>
        <v>37085</v>
      </c>
    </row>
    <row r="443" spans="1:14" x14ac:dyDescent="0.3">
      <c r="A443" s="6" t="s">
        <v>25</v>
      </c>
      <c r="B443" s="6" t="s">
        <v>230</v>
      </c>
      <c r="C443" s="6" t="s">
        <v>231</v>
      </c>
      <c r="D443" s="6" t="s">
        <v>51</v>
      </c>
      <c r="E443" s="6" t="s">
        <v>75</v>
      </c>
      <c r="F443" s="6">
        <v>3</v>
      </c>
      <c r="G443" s="7">
        <v>26000</v>
      </c>
      <c r="H443" s="25">
        <v>62.1</v>
      </c>
      <c r="I443" s="17">
        <v>900</v>
      </c>
      <c r="J443" s="7">
        <v>450</v>
      </c>
      <c r="K443" s="7">
        <v>650</v>
      </c>
      <c r="L443" s="7">
        <v>1.52</v>
      </c>
      <c r="M443" s="7">
        <f>(International_Education_Costs!$G443+International_Education_Costs!$I443+International_Education_Costs!$J443+International_Education_Costs!$K443)*International_Education_Costs!$L443</f>
        <v>42560</v>
      </c>
      <c r="N443" s="7">
        <f>International_Education_Costs!$G443+International_Education_Costs!$I443+International_Education_Costs!$J443+International_Education_Costs!$K443</f>
        <v>28000</v>
      </c>
    </row>
    <row r="444" spans="1:14" x14ac:dyDescent="0.3">
      <c r="A444" s="4" t="s">
        <v>12</v>
      </c>
      <c r="B444" s="4" t="s">
        <v>148</v>
      </c>
      <c r="C444" s="4" t="s">
        <v>149</v>
      </c>
      <c r="D444" s="4" t="s">
        <v>629</v>
      </c>
      <c r="E444" s="4" t="s">
        <v>122</v>
      </c>
      <c r="F444" s="4">
        <v>5</v>
      </c>
      <c r="G444" s="5">
        <v>49000</v>
      </c>
      <c r="H444" s="24">
        <v>75.599999999999994</v>
      </c>
      <c r="I444" s="16">
        <v>1900</v>
      </c>
      <c r="J444" s="5">
        <v>160</v>
      </c>
      <c r="K444" s="5">
        <v>1500</v>
      </c>
      <c r="L444" s="5">
        <v>1</v>
      </c>
      <c r="M444" s="5">
        <f>(International_Education_Costs!$G444+International_Education_Costs!$I444+International_Education_Costs!$J444+International_Education_Costs!$K444)*International_Education_Costs!$L444</f>
        <v>52560</v>
      </c>
      <c r="N444" s="5">
        <f>International_Education_Costs!$G444+International_Education_Costs!$I444+International_Education_Costs!$J444+International_Education_Costs!$K444</f>
        <v>52560</v>
      </c>
    </row>
    <row r="445" spans="1:14" x14ac:dyDescent="0.3">
      <c r="A445" s="6" t="s">
        <v>17</v>
      </c>
      <c r="B445" s="6" t="s">
        <v>278</v>
      </c>
      <c r="C445" s="6" t="s">
        <v>532</v>
      </c>
      <c r="D445" s="6" t="s">
        <v>28</v>
      </c>
      <c r="E445" s="6" t="s">
        <v>16</v>
      </c>
      <c r="F445" s="6">
        <v>2</v>
      </c>
      <c r="G445" s="7">
        <v>35000</v>
      </c>
      <c r="H445" s="25">
        <v>63.4</v>
      </c>
      <c r="I445" s="17">
        <v>900</v>
      </c>
      <c r="J445" s="7">
        <v>485</v>
      </c>
      <c r="K445" s="7">
        <v>800</v>
      </c>
      <c r="L445" s="7">
        <v>0.79</v>
      </c>
      <c r="M445" s="7">
        <f>(International_Education_Costs!$G445+International_Education_Costs!$I445+International_Education_Costs!$J445+International_Education_Costs!$K445)*International_Education_Costs!$L445</f>
        <v>29376.15</v>
      </c>
      <c r="N445" s="7">
        <f>International_Education_Costs!$G445+International_Education_Costs!$I445+International_Education_Costs!$J445+International_Education_Costs!$K445</f>
        <v>37185</v>
      </c>
    </row>
    <row r="446" spans="1:14" x14ac:dyDescent="0.3">
      <c r="A446" s="4" t="s">
        <v>29</v>
      </c>
      <c r="B446" s="4" t="s">
        <v>253</v>
      </c>
      <c r="C446" s="4" t="s">
        <v>254</v>
      </c>
      <c r="D446" s="4" t="s">
        <v>15</v>
      </c>
      <c r="E446" s="4" t="s">
        <v>75</v>
      </c>
      <c r="F446" s="4">
        <v>3</v>
      </c>
      <c r="G446" s="5">
        <v>0</v>
      </c>
      <c r="H446" s="24">
        <v>68.900000000000006</v>
      </c>
      <c r="I446" s="16">
        <v>1000</v>
      </c>
      <c r="J446" s="5">
        <v>110</v>
      </c>
      <c r="K446" s="5">
        <v>900</v>
      </c>
      <c r="L446" s="5">
        <v>0.92</v>
      </c>
      <c r="M446" s="5">
        <f>(International_Education_Costs!$G446+International_Education_Costs!$I446+International_Education_Costs!$J446+International_Education_Costs!$K446)*International_Education_Costs!$L446</f>
        <v>1849.2</v>
      </c>
      <c r="N446" s="5">
        <f>International_Education_Costs!$G446+International_Education_Costs!$I446+International_Education_Costs!$J446+International_Education_Costs!$K446</f>
        <v>2010</v>
      </c>
    </row>
    <row r="447" spans="1:14" x14ac:dyDescent="0.3">
      <c r="A447" s="6" t="s">
        <v>21</v>
      </c>
      <c r="B447" s="6" t="s">
        <v>320</v>
      </c>
      <c r="C447" s="6" t="s">
        <v>321</v>
      </c>
      <c r="D447" s="6" t="s">
        <v>20</v>
      </c>
      <c r="E447" s="6" t="s">
        <v>16</v>
      </c>
      <c r="F447" s="6">
        <v>2</v>
      </c>
      <c r="G447" s="7">
        <v>33000</v>
      </c>
      <c r="H447" s="25">
        <v>61.2</v>
      </c>
      <c r="I447" s="17">
        <v>900</v>
      </c>
      <c r="J447" s="7">
        <v>235</v>
      </c>
      <c r="K447" s="7">
        <v>750</v>
      </c>
      <c r="L447" s="7">
        <v>1.35</v>
      </c>
      <c r="M447" s="7">
        <f>(International_Education_Costs!$G447+International_Education_Costs!$I447+International_Education_Costs!$J447+International_Education_Costs!$K447)*International_Education_Costs!$L447</f>
        <v>47094.75</v>
      </c>
      <c r="N447" s="7">
        <f>International_Education_Costs!$G447+International_Education_Costs!$I447+International_Education_Costs!$J447+International_Education_Costs!$K447</f>
        <v>34885</v>
      </c>
    </row>
    <row r="448" spans="1:14" x14ac:dyDescent="0.3">
      <c r="A448" s="4" t="s">
        <v>25</v>
      </c>
      <c r="B448" s="4" t="s">
        <v>234</v>
      </c>
      <c r="C448" s="4" t="s">
        <v>235</v>
      </c>
      <c r="D448" s="4" t="s">
        <v>99</v>
      </c>
      <c r="E448" s="4" t="s">
        <v>122</v>
      </c>
      <c r="F448" s="4">
        <v>4</v>
      </c>
      <c r="G448" s="5">
        <v>28000</v>
      </c>
      <c r="H448" s="24">
        <v>63.4</v>
      </c>
      <c r="I448" s="16">
        <v>950</v>
      </c>
      <c r="J448" s="5">
        <v>450</v>
      </c>
      <c r="K448" s="5">
        <v>650</v>
      </c>
      <c r="L448" s="5">
        <v>1.52</v>
      </c>
      <c r="M448" s="5">
        <f>(International_Education_Costs!$G448+International_Education_Costs!$I448+International_Education_Costs!$J448+International_Education_Costs!$K448)*International_Education_Costs!$L448</f>
        <v>45676</v>
      </c>
      <c r="N448" s="5">
        <f>International_Education_Costs!$G448+International_Education_Costs!$I448+International_Education_Costs!$J448+International_Education_Costs!$K448</f>
        <v>30050</v>
      </c>
    </row>
    <row r="449" spans="1:14" x14ac:dyDescent="0.3">
      <c r="A449" s="6" t="s">
        <v>12</v>
      </c>
      <c r="B449" s="6" t="s">
        <v>639</v>
      </c>
      <c r="C449" s="6" t="s">
        <v>640</v>
      </c>
      <c r="D449" s="6" t="s">
        <v>20</v>
      </c>
      <c r="E449" s="6" t="s">
        <v>16</v>
      </c>
      <c r="F449" s="6">
        <v>2</v>
      </c>
      <c r="G449" s="7">
        <v>52000</v>
      </c>
      <c r="H449" s="25">
        <v>95.2</v>
      </c>
      <c r="I449" s="17">
        <v>2400</v>
      </c>
      <c r="J449" s="7">
        <v>160</v>
      </c>
      <c r="K449" s="7">
        <v>1500</v>
      </c>
      <c r="L449" s="7">
        <v>1</v>
      </c>
      <c r="M449" s="7">
        <f>(International_Education_Costs!$G449+International_Education_Costs!$I449+International_Education_Costs!$J449+International_Education_Costs!$K449)*International_Education_Costs!$L449</f>
        <v>56060</v>
      </c>
      <c r="N449" s="7">
        <f>International_Education_Costs!$G449+International_Education_Costs!$I449+International_Education_Costs!$J449+International_Education_Costs!$K449</f>
        <v>56060</v>
      </c>
    </row>
    <row r="450" spans="1:14" x14ac:dyDescent="0.3">
      <c r="A450" s="4" t="s">
        <v>17</v>
      </c>
      <c r="B450" s="4" t="s">
        <v>18</v>
      </c>
      <c r="C450" s="4" t="s">
        <v>529</v>
      </c>
      <c r="D450" s="4" t="s">
        <v>15</v>
      </c>
      <c r="E450" s="4" t="s">
        <v>16</v>
      </c>
      <c r="F450" s="4">
        <v>1</v>
      </c>
      <c r="G450" s="5">
        <v>39000</v>
      </c>
      <c r="H450" s="24">
        <v>75.3</v>
      </c>
      <c r="I450" s="16">
        <v>1900</v>
      </c>
      <c r="J450" s="5">
        <v>485</v>
      </c>
      <c r="K450" s="5">
        <v>800</v>
      </c>
      <c r="L450" s="5">
        <v>0.79</v>
      </c>
      <c r="M450" s="5">
        <f>(International_Education_Costs!$G450+International_Education_Costs!$I450+International_Education_Costs!$J450+International_Education_Costs!$K450)*International_Education_Costs!$L450</f>
        <v>33326.15</v>
      </c>
      <c r="N450" s="5">
        <f>International_Education_Costs!$G450+International_Education_Costs!$I450+International_Education_Costs!$J450+International_Education_Costs!$K450</f>
        <v>42185</v>
      </c>
    </row>
    <row r="451" spans="1:14" x14ac:dyDescent="0.3">
      <c r="A451" s="6" t="s">
        <v>48</v>
      </c>
      <c r="B451" s="6" t="s">
        <v>49</v>
      </c>
      <c r="C451" s="6" t="s">
        <v>50</v>
      </c>
      <c r="D451" s="6" t="s">
        <v>15</v>
      </c>
      <c r="E451" s="6" t="s">
        <v>16</v>
      </c>
      <c r="F451" s="6">
        <v>2</v>
      </c>
      <c r="G451" s="7">
        <v>1500</v>
      </c>
      <c r="H451" s="25">
        <v>122.4</v>
      </c>
      <c r="I451" s="17">
        <v>2000</v>
      </c>
      <c r="J451" s="7">
        <v>140</v>
      </c>
      <c r="K451" s="7">
        <v>1200</v>
      </c>
      <c r="L451" s="7">
        <v>0.89</v>
      </c>
      <c r="M451" s="7">
        <f>(International_Education_Costs!$G451+International_Education_Costs!$I451+International_Education_Costs!$J451+International_Education_Costs!$K451)*International_Education_Costs!$L451</f>
        <v>4307.6000000000004</v>
      </c>
      <c r="N451" s="7">
        <f>International_Education_Costs!$G451+International_Education_Costs!$I451+International_Education_Costs!$J451+International_Education_Costs!$K451</f>
        <v>4840</v>
      </c>
    </row>
    <row r="452" spans="1:14" x14ac:dyDescent="0.3">
      <c r="A452" s="4" t="s">
        <v>44</v>
      </c>
      <c r="B452" s="4" t="s">
        <v>45</v>
      </c>
      <c r="C452" s="4" t="s">
        <v>46</v>
      </c>
      <c r="D452" s="4" t="s">
        <v>71</v>
      </c>
      <c r="E452" s="4" t="s">
        <v>16</v>
      </c>
      <c r="F452" s="4">
        <v>2</v>
      </c>
      <c r="G452" s="5">
        <v>4500</v>
      </c>
      <c r="H452" s="24">
        <v>84.3</v>
      </c>
      <c r="I452" s="16">
        <v>1800</v>
      </c>
      <c r="J452" s="5">
        <v>99</v>
      </c>
      <c r="K452" s="5">
        <v>850</v>
      </c>
      <c r="L452" s="5">
        <v>0.92</v>
      </c>
      <c r="M452" s="5">
        <f>(International_Education_Costs!$G452+International_Education_Costs!$I452+International_Education_Costs!$J452+International_Education_Costs!$K452)*International_Education_Costs!$L452</f>
        <v>6669.08</v>
      </c>
      <c r="N452" s="5">
        <f>International_Education_Costs!$G452+International_Education_Costs!$I452+International_Education_Costs!$J452+International_Education_Costs!$K452</f>
        <v>7249</v>
      </c>
    </row>
    <row r="453" spans="1:14" x14ac:dyDescent="0.3">
      <c r="A453" s="6" t="s">
        <v>68</v>
      </c>
      <c r="B453" s="6" t="s">
        <v>69</v>
      </c>
      <c r="C453" s="6" t="s">
        <v>70</v>
      </c>
      <c r="D453" s="6" t="s">
        <v>15</v>
      </c>
      <c r="E453" s="6" t="s">
        <v>122</v>
      </c>
      <c r="F453" s="6">
        <v>4</v>
      </c>
      <c r="G453" s="7">
        <v>18900</v>
      </c>
      <c r="H453" s="25">
        <v>83.6</v>
      </c>
      <c r="I453" s="17">
        <v>1700</v>
      </c>
      <c r="J453" s="7">
        <v>150</v>
      </c>
      <c r="K453" s="7">
        <v>750</v>
      </c>
      <c r="L453" s="7">
        <v>0.92</v>
      </c>
      <c r="M453" s="7">
        <f>(International_Education_Costs!$G453+International_Education_Costs!$I453+International_Education_Costs!$J453+International_Education_Costs!$K453)*International_Education_Costs!$L453</f>
        <v>19780</v>
      </c>
      <c r="N453" s="7">
        <f>International_Education_Costs!$G453+International_Education_Costs!$I453+International_Education_Costs!$J453+International_Education_Costs!$K453</f>
        <v>21500</v>
      </c>
    </row>
    <row r="454" spans="1:14" x14ac:dyDescent="0.3">
      <c r="A454" s="4" t="s">
        <v>12</v>
      </c>
      <c r="B454" s="4" t="s">
        <v>272</v>
      </c>
      <c r="C454" s="4" t="s">
        <v>273</v>
      </c>
      <c r="D454" s="4" t="s">
        <v>20</v>
      </c>
      <c r="E454" s="4" t="s">
        <v>16</v>
      </c>
      <c r="F454" s="4">
        <v>2</v>
      </c>
      <c r="G454" s="5">
        <v>58000</v>
      </c>
      <c r="H454" s="24">
        <v>84.1</v>
      </c>
      <c r="I454" s="16">
        <v>1900</v>
      </c>
      <c r="J454" s="5">
        <v>160</v>
      </c>
      <c r="K454" s="5">
        <v>1500</v>
      </c>
      <c r="L454" s="5">
        <v>1</v>
      </c>
      <c r="M454" s="5">
        <f>(International_Education_Costs!$G454+International_Education_Costs!$I454+International_Education_Costs!$J454+International_Education_Costs!$K454)*International_Education_Costs!$L454</f>
        <v>61560</v>
      </c>
      <c r="N454" s="5">
        <f>International_Education_Costs!$G454+International_Education_Costs!$I454+International_Education_Costs!$J454+International_Education_Costs!$K454</f>
        <v>61560</v>
      </c>
    </row>
    <row r="455" spans="1:14" x14ac:dyDescent="0.3">
      <c r="A455" s="6" t="s">
        <v>17</v>
      </c>
      <c r="B455" s="6" t="s">
        <v>13</v>
      </c>
      <c r="C455" s="6" t="s">
        <v>641</v>
      </c>
      <c r="D455" s="6" t="s">
        <v>71</v>
      </c>
      <c r="E455" s="6" t="s">
        <v>75</v>
      </c>
      <c r="F455" s="6">
        <v>3</v>
      </c>
      <c r="G455" s="7">
        <v>35000</v>
      </c>
      <c r="H455" s="25">
        <v>71.2</v>
      </c>
      <c r="I455" s="17">
        <v>1500</v>
      </c>
      <c r="J455" s="7">
        <v>485</v>
      </c>
      <c r="K455" s="7">
        <v>800</v>
      </c>
      <c r="L455" s="7">
        <v>0.79</v>
      </c>
      <c r="M455" s="7">
        <f>(International_Education_Costs!$G455+International_Education_Costs!$I455+International_Education_Costs!$J455+International_Education_Costs!$K455)*International_Education_Costs!$L455</f>
        <v>29850.15</v>
      </c>
      <c r="N455" s="7">
        <f>International_Education_Costs!$G455+International_Education_Costs!$I455+International_Education_Costs!$J455+International_Education_Costs!$K455</f>
        <v>37785</v>
      </c>
    </row>
    <row r="456" spans="1:14" x14ac:dyDescent="0.3">
      <c r="A456" s="4" t="s">
        <v>48</v>
      </c>
      <c r="B456" s="4" t="s">
        <v>438</v>
      </c>
      <c r="C456" s="4" t="s">
        <v>439</v>
      </c>
      <c r="D456" s="4" t="s">
        <v>15</v>
      </c>
      <c r="E456" s="4" t="s">
        <v>122</v>
      </c>
      <c r="F456" s="4">
        <v>4</v>
      </c>
      <c r="G456" s="5">
        <v>1500</v>
      </c>
      <c r="H456" s="24">
        <v>119.8</v>
      </c>
      <c r="I456" s="16">
        <v>1900</v>
      </c>
      <c r="J456" s="5">
        <v>140</v>
      </c>
      <c r="K456" s="5">
        <v>1200</v>
      </c>
      <c r="L456" s="5">
        <v>0.89</v>
      </c>
      <c r="M456" s="5">
        <f>(International_Education_Costs!$G456+International_Education_Costs!$I456+International_Education_Costs!$J456+International_Education_Costs!$K456)*International_Education_Costs!$L456</f>
        <v>4218.6000000000004</v>
      </c>
      <c r="N456" s="5">
        <f>International_Education_Costs!$G456+International_Education_Costs!$I456+International_Education_Costs!$J456+International_Education_Costs!$K456</f>
        <v>4740</v>
      </c>
    </row>
    <row r="457" spans="1:14" x14ac:dyDescent="0.3">
      <c r="A457" s="6" t="s">
        <v>44</v>
      </c>
      <c r="B457" s="6" t="s">
        <v>421</v>
      </c>
      <c r="C457" s="6" t="s">
        <v>642</v>
      </c>
      <c r="D457" s="6" t="s">
        <v>20</v>
      </c>
      <c r="E457" s="6" t="s">
        <v>16</v>
      </c>
      <c r="F457" s="6">
        <v>2</v>
      </c>
      <c r="G457" s="7">
        <v>4200</v>
      </c>
      <c r="H457" s="25">
        <v>75.599999999999994</v>
      </c>
      <c r="I457" s="17">
        <v>1200</v>
      </c>
      <c r="J457" s="7">
        <v>99</v>
      </c>
      <c r="K457" s="7">
        <v>850</v>
      </c>
      <c r="L457" s="7">
        <v>0.92</v>
      </c>
      <c r="M457" s="7">
        <f>(International_Education_Costs!$G457+International_Education_Costs!$I457+International_Education_Costs!$J457+International_Education_Costs!$K457)*International_Education_Costs!$L457</f>
        <v>5841.08</v>
      </c>
      <c r="N457" s="7">
        <f>International_Education_Costs!$G457+International_Education_Costs!$I457+International_Education_Costs!$J457+International_Education_Costs!$K457</f>
        <v>6349</v>
      </c>
    </row>
    <row r="458" spans="1:14" x14ac:dyDescent="0.3">
      <c r="A458" s="4" t="s">
        <v>68</v>
      </c>
      <c r="B458" s="4" t="s">
        <v>643</v>
      </c>
      <c r="C458" s="4" t="s">
        <v>644</v>
      </c>
      <c r="D458" s="4" t="s">
        <v>15</v>
      </c>
      <c r="E458" s="4" t="s">
        <v>16</v>
      </c>
      <c r="F458" s="4">
        <v>2</v>
      </c>
      <c r="G458" s="5">
        <v>16800</v>
      </c>
      <c r="H458" s="24">
        <v>75.400000000000006</v>
      </c>
      <c r="I458" s="16">
        <v>1300</v>
      </c>
      <c r="J458" s="5">
        <v>150</v>
      </c>
      <c r="K458" s="5">
        <v>750</v>
      </c>
      <c r="L458" s="5">
        <v>0.92</v>
      </c>
      <c r="M458" s="5">
        <f>(International_Education_Costs!$G458+International_Education_Costs!$I458+International_Education_Costs!$J458+International_Education_Costs!$K458)*International_Education_Costs!$L458</f>
        <v>17480</v>
      </c>
      <c r="N458" s="5">
        <f>International_Education_Costs!$G458+International_Education_Costs!$I458+International_Education_Costs!$J458+International_Education_Costs!$K458</f>
        <v>19000</v>
      </c>
    </row>
    <row r="459" spans="1:14" x14ac:dyDescent="0.3">
      <c r="A459" s="6" t="s">
        <v>12</v>
      </c>
      <c r="B459" s="6" t="s">
        <v>123</v>
      </c>
      <c r="C459" s="6" t="s">
        <v>645</v>
      </c>
      <c r="D459" s="6" t="s">
        <v>71</v>
      </c>
      <c r="E459" s="6" t="s">
        <v>16</v>
      </c>
      <c r="F459" s="6">
        <v>2</v>
      </c>
      <c r="G459" s="7">
        <v>54000</v>
      </c>
      <c r="H459" s="25">
        <v>82.1</v>
      </c>
      <c r="I459" s="17">
        <v>2200</v>
      </c>
      <c r="J459" s="7">
        <v>160</v>
      </c>
      <c r="K459" s="7">
        <v>1500</v>
      </c>
      <c r="L459" s="7">
        <v>1</v>
      </c>
      <c r="M459" s="7">
        <f>(International_Education_Costs!$G459+International_Education_Costs!$I459+International_Education_Costs!$J459+International_Education_Costs!$K459)*International_Education_Costs!$L459</f>
        <v>57860</v>
      </c>
      <c r="N459" s="7">
        <f>International_Education_Costs!$G459+International_Education_Costs!$I459+International_Education_Costs!$J459+International_Education_Costs!$K459</f>
        <v>57860</v>
      </c>
    </row>
    <row r="460" spans="1:14" x14ac:dyDescent="0.3">
      <c r="A460" s="4" t="s">
        <v>17</v>
      </c>
      <c r="B460" s="4" t="s">
        <v>530</v>
      </c>
      <c r="C460" s="4" t="s">
        <v>558</v>
      </c>
      <c r="D460" s="4" t="s">
        <v>15</v>
      </c>
      <c r="E460" s="4" t="s">
        <v>16</v>
      </c>
      <c r="F460" s="4">
        <v>1</v>
      </c>
      <c r="G460" s="5">
        <v>37000</v>
      </c>
      <c r="H460" s="24">
        <v>67.8</v>
      </c>
      <c r="I460" s="16">
        <v>1200</v>
      </c>
      <c r="J460" s="5">
        <v>485</v>
      </c>
      <c r="K460" s="5">
        <v>800</v>
      </c>
      <c r="L460" s="5">
        <v>0.79</v>
      </c>
      <c r="M460" s="5">
        <f>(International_Education_Costs!$G460+International_Education_Costs!$I460+International_Education_Costs!$J460+International_Education_Costs!$K460)*International_Education_Costs!$L460</f>
        <v>31193.15</v>
      </c>
      <c r="N460" s="5">
        <f>International_Education_Costs!$G460+International_Education_Costs!$I460+International_Education_Costs!$J460+International_Education_Costs!$K460</f>
        <v>39485</v>
      </c>
    </row>
    <row r="461" spans="1:14" x14ac:dyDescent="0.3">
      <c r="A461" s="6" t="s">
        <v>48</v>
      </c>
      <c r="B461" s="6" t="s">
        <v>440</v>
      </c>
      <c r="C461" s="6" t="s">
        <v>441</v>
      </c>
      <c r="D461" s="6" t="s">
        <v>20</v>
      </c>
      <c r="E461" s="6" t="s">
        <v>16</v>
      </c>
      <c r="F461" s="6">
        <v>2</v>
      </c>
      <c r="G461" s="7">
        <v>1500</v>
      </c>
      <c r="H461" s="25">
        <v>116.5</v>
      </c>
      <c r="I461" s="17">
        <v>1800</v>
      </c>
      <c r="J461" s="7">
        <v>140</v>
      </c>
      <c r="K461" s="7">
        <v>1200</v>
      </c>
      <c r="L461" s="7">
        <v>0.89</v>
      </c>
      <c r="M461" s="7">
        <f>(International_Education_Costs!$G461+International_Education_Costs!$I461+International_Education_Costs!$J461+International_Education_Costs!$K461)*International_Education_Costs!$L461</f>
        <v>4129.6000000000004</v>
      </c>
      <c r="N461" s="7">
        <f>International_Education_Costs!$G461+International_Education_Costs!$I461+International_Education_Costs!$J461+International_Education_Costs!$K461</f>
        <v>4640</v>
      </c>
    </row>
    <row r="462" spans="1:14" x14ac:dyDescent="0.3">
      <c r="A462" s="4" t="s">
        <v>44</v>
      </c>
      <c r="B462" s="4" t="s">
        <v>419</v>
      </c>
      <c r="C462" s="4" t="s">
        <v>646</v>
      </c>
      <c r="D462" s="4" t="s">
        <v>15</v>
      </c>
      <c r="E462" s="4" t="s">
        <v>75</v>
      </c>
      <c r="F462" s="4">
        <v>3</v>
      </c>
      <c r="G462" s="5">
        <v>4000</v>
      </c>
      <c r="H462" s="24">
        <v>71.2</v>
      </c>
      <c r="I462" s="16">
        <v>900</v>
      </c>
      <c r="J462" s="5">
        <v>99</v>
      </c>
      <c r="K462" s="5">
        <v>850</v>
      </c>
      <c r="L462" s="5">
        <v>0.92</v>
      </c>
      <c r="M462" s="5">
        <f>(International_Education_Costs!$G462+International_Education_Costs!$I462+International_Education_Costs!$J462+International_Education_Costs!$K462)*International_Education_Costs!$L462</f>
        <v>5381.08</v>
      </c>
      <c r="N462" s="5">
        <f>International_Education_Costs!$G462+International_Education_Costs!$I462+International_Education_Costs!$J462+International_Education_Costs!$K462</f>
        <v>5849</v>
      </c>
    </row>
    <row r="463" spans="1:14" x14ac:dyDescent="0.3">
      <c r="A463" s="6" t="s">
        <v>68</v>
      </c>
      <c r="B463" s="6" t="s">
        <v>164</v>
      </c>
      <c r="C463" s="6" t="s">
        <v>165</v>
      </c>
      <c r="D463" s="6" t="s">
        <v>71</v>
      </c>
      <c r="E463" s="6" t="s">
        <v>16</v>
      </c>
      <c r="F463" s="6">
        <v>2</v>
      </c>
      <c r="G463" s="7">
        <v>15900</v>
      </c>
      <c r="H463" s="25">
        <v>72.3</v>
      </c>
      <c r="I463" s="17">
        <v>1100</v>
      </c>
      <c r="J463" s="7">
        <v>150</v>
      </c>
      <c r="K463" s="7">
        <v>750</v>
      </c>
      <c r="L463" s="7">
        <v>0.92</v>
      </c>
      <c r="M463" s="7">
        <f>(International_Education_Costs!$G463+International_Education_Costs!$I463+International_Education_Costs!$J463+International_Education_Costs!$K463)*International_Education_Costs!$L463</f>
        <v>16468</v>
      </c>
      <c r="N463" s="7">
        <f>International_Education_Costs!$G463+International_Education_Costs!$I463+International_Education_Costs!$J463+International_Education_Costs!$K463</f>
        <v>17900</v>
      </c>
    </row>
    <row r="464" spans="1:14" x14ac:dyDescent="0.3">
      <c r="A464" s="4" t="s">
        <v>12</v>
      </c>
      <c r="B464" s="4" t="s">
        <v>150</v>
      </c>
      <c r="C464" s="4" t="s">
        <v>151</v>
      </c>
      <c r="D464" s="4" t="s">
        <v>20</v>
      </c>
      <c r="E464" s="4" t="s">
        <v>122</v>
      </c>
      <c r="F464" s="4">
        <v>4</v>
      </c>
      <c r="G464" s="5">
        <v>51000</v>
      </c>
      <c r="H464" s="24">
        <v>77.8</v>
      </c>
      <c r="I464" s="16">
        <v>2100</v>
      </c>
      <c r="J464" s="5">
        <v>160</v>
      </c>
      <c r="K464" s="5">
        <v>1500</v>
      </c>
      <c r="L464" s="5">
        <v>1</v>
      </c>
      <c r="M464" s="5">
        <f>(International_Education_Costs!$G464+International_Education_Costs!$I464+International_Education_Costs!$J464+International_Education_Costs!$K464)*International_Education_Costs!$L464</f>
        <v>54760</v>
      </c>
      <c r="N464" s="5">
        <f>International_Education_Costs!$G464+International_Education_Costs!$I464+International_Education_Costs!$J464+International_Education_Costs!$K464</f>
        <v>54760</v>
      </c>
    </row>
    <row r="465" spans="1:14" x14ac:dyDescent="0.3">
      <c r="A465" s="6" t="s">
        <v>17</v>
      </c>
      <c r="B465" s="6" t="s">
        <v>297</v>
      </c>
      <c r="C465" s="6" t="s">
        <v>298</v>
      </c>
      <c r="D465" s="6" t="s">
        <v>15</v>
      </c>
      <c r="E465" s="6" t="s">
        <v>16</v>
      </c>
      <c r="F465" s="6">
        <v>1</v>
      </c>
      <c r="G465" s="7">
        <v>36000</v>
      </c>
      <c r="H465" s="25">
        <v>65.400000000000006</v>
      </c>
      <c r="I465" s="17">
        <v>1100</v>
      </c>
      <c r="J465" s="7">
        <v>485</v>
      </c>
      <c r="K465" s="7">
        <v>800</v>
      </c>
      <c r="L465" s="7">
        <v>0.79</v>
      </c>
      <c r="M465" s="7">
        <f>(International_Education_Costs!$G465+International_Education_Costs!$I465+International_Education_Costs!$J465+International_Education_Costs!$K465)*International_Education_Costs!$L465</f>
        <v>30324.15</v>
      </c>
      <c r="N465" s="7">
        <f>International_Education_Costs!$G465+International_Education_Costs!$I465+International_Education_Costs!$J465+International_Education_Costs!$K465</f>
        <v>38385</v>
      </c>
    </row>
    <row r="466" spans="1:14" x14ac:dyDescent="0.3">
      <c r="A466" s="4" t="s">
        <v>48</v>
      </c>
      <c r="B466" s="4" t="s">
        <v>132</v>
      </c>
      <c r="C466" s="4" t="s">
        <v>453</v>
      </c>
      <c r="D466" s="4" t="s">
        <v>20</v>
      </c>
      <c r="E466" s="4" t="s">
        <v>16</v>
      </c>
      <c r="F466" s="4">
        <v>2</v>
      </c>
      <c r="G466" s="5">
        <v>1500</v>
      </c>
      <c r="H466" s="24">
        <v>114.3</v>
      </c>
      <c r="I466" s="16">
        <v>1700</v>
      </c>
      <c r="J466" s="5">
        <v>140</v>
      </c>
      <c r="K466" s="5">
        <v>1200</v>
      </c>
      <c r="L466" s="5">
        <v>0.89</v>
      </c>
      <c r="M466" s="5">
        <f>(International_Education_Costs!$G466+International_Education_Costs!$I466+International_Education_Costs!$J466+International_Education_Costs!$K466)*International_Education_Costs!$L466</f>
        <v>4040.6</v>
      </c>
      <c r="N466" s="5">
        <f>International_Education_Costs!$G466+International_Education_Costs!$I466+International_Education_Costs!$J466+International_Education_Costs!$K466</f>
        <v>4540</v>
      </c>
    </row>
    <row r="467" spans="1:14" x14ac:dyDescent="0.3">
      <c r="A467" s="6" t="s">
        <v>44</v>
      </c>
      <c r="B467" s="6" t="s">
        <v>427</v>
      </c>
      <c r="C467" s="6" t="s">
        <v>428</v>
      </c>
      <c r="D467" s="6" t="s">
        <v>71</v>
      </c>
      <c r="E467" s="6" t="s">
        <v>16</v>
      </c>
      <c r="F467" s="6">
        <v>2</v>
      </c>
      <c r="G467" s="7">
        <v>4300</v>
      </c>
      <c r="H467" s="25">
        <v>72.099999999999994</v>
      </c>
      <c r="I467" s="17">
        <v>1000</v>
      </c>
      <c r="J467" s="7">
        <v>99</v>
      </c>
      <c r="K467" s="7">
        <v>850</v>
      </c>
      <c r="L467" s="7">
        <v>0.92</v>
      </c>
      <c r="M467" s="7">
        <f>(International_Education_Costs!$G467+International_Education_Costs!$I467+International_Education_Costs!$J467+International_Education_Costs!$K467)*International_Education_Costs!$L467</f>
        <v>5749.08</v>
      </c>
      <c r="N467" s="7">
        <f>International_Education_Costs!$G467+International_Education_Costs!$I467+International_Education_Costs!$J467+International_Education_Costs!$K467</f>
        <v>6249</v>
      </c>
    </row>
    <row r="468" spans="1:14" x14ac:dyDescent="0.3">
      <c r="A468" s="4" t="s">
        <v>68</v>
      </c>
      <c r="B468" s="4" t="s">
        <v>647</v>
      </c>
      <c r="C468" s="4" t="s">
        <v>648</v>
      </c>
      <c r="D468" s="4" t="s">
        <v>15</v>
      </c>
      <c r="E468" s="4" t="s">
        <v>75</v>
      </c>
      <c r="F468" s="4">
        <v>4</v>
      </c>
      <c r="G468" s="5">
        <v>15400</v>
      </c>
      <c r="H468" s="24">
        <v>71.2</v>
      </c>
      <c r="I468" s="16">
        <v>1000</v>
      </c>
      <c r="J468" s="5">
        <v>150</v>
      </c>
      <c r="K468" s="5">
        <v>750</v>
      </c>
      <c r="L468" s="5">
        <v>0.92</v>
      </c>
      <c r="M468" s="5">
        <f>(International_Education_Costs!$G468+International_Education_Costs!$I468+International_Education_Costs!$J468+International_Education_Costs!$K468)*International_Education_Costs!$L468</f>
        <v>15916</v>
      </c>
      <c r="N468" s="5">
        <f>International_Education_Costs!$G468+International_Education_Costs!$I468+International_Education_Costs!$J468+International_Education_Costs!$K468</f>
        <v>17300</v>
      </c>
    </row>
    <row r="469" spans="1:14" x14ac:dyDescent="0.3">
      <c r="A469" s="6" t="s">
        <v>12</v>
      </c>
      <c r="B469" s="6" t="s">
        <v>94</v>
      </c>
      <c r="C469" s="6" t="s">
        <v>95</v>
      </c>
      <c r="D469" s="6" t="s">
        <v>15</v>
      </c>
      <c r="E469" s="6" t="s">
        <v>16</v>
      </c>
      <c r="F469" s="6">
        <v>2</v>
      </c>
      <c r="G469" s="7">
        <v>49000</v>
      </c>
      <c r="H469" s="25">
        <v>68.900000000000006</v>
      </c>
      <c r="I469" s="17">
        <v>1800</v>
      </c>
      <c r="J469" s="7">
        <v>160</v>
      </c>
      <c r="K469" s="7">
        <v>1500</v>
      </c>
      <c r="L469" s="7">
        <v>1</v>
      </c>
      <c r="M469" s="7">
        <f>(International_Education_Costs!$G469+International_Education_Costs!$I469+International_Education_Costs!$J469+International_Education_Costs!$K469)*International_Education_Costs!$L469</f>
        <v>52460</v>
      </c>
      <c r="N469" s="7">
        <f>International_Education_Costs!$G469+International_Education_Costs!$I469+International_Education_Costs!$J469+International_Education_Costs!$K469</f>
        <v>52460</v>
      </c>
    </row>
    <row r="470" spans="1:14" x14ac:dyDescent="0.3">
      <c r="A470" s="4" t="s">
        <v>17</v>
      </c>
      <c r="B470" s="4" t="s">
        <v>173</v>
      </c>
      <c r="C470" s="4" t="s">
        <v>649</v>
      </c>
      <c r="D470" s="4" t="s">
        <v>20</v>
      </c>
      <c r="E470" s="4" t="s">
        <v>16</v>
      </c>
      <c r="F470" s="4">
        <v>1</v>
      </c>
      <c r="G470" s="5">
        <v>35000</v>
      </c>
      <c r="H470" s="24">
        <v>65.400000000000006</v>
      </c>
      <c r="I470" s="16">
        <v>1000</v>
      </c>
      <c r="J470" s="5">
        <v>485</v>
      </c>
      <c r="K470" s="5">
        <v>800</v>
      </c>
      <c r="L470" s="5">
        <v>0.79</v>
      </c>
      <c r="M470" s="5">
        <f>(International_Education_Costs!$G470+International_Education_Costs!$I470+International_Education_Costs!$J470+International_Education_Costs!$K470)*International_Education_Costs!$L470</f>
        <v>29455.15</v>
      </c>
      <c r="N470" s="5">
        <f>International_Education_Costs!$G470+International_Education_Costs!$I470+International_Education_Costs!$J470+International_Education_Costs!$K470</f>
        <v>37285</v>
      </c>
    </row>
    <row r="471" spans="1:14" x14ac:dyDescent="0.3">
      <c r="A471" s="6" t="s">
        <v>48</v>
      </c>
      <c r="B471" s="6" t="s">
        <v>444</v>
      </c>
      <c r="C471" s="6" t="s">
        <v>445</v>
      </c>
      <c r="D471" s="6" t="s">
        <v>71</v>
      </c>
      <c r="E471" s="6" t="s">
        <v>16</v>
      </c>
      <c r="F471" s="6">
        <v>2</v>
      </c>
      <c r="G471" s="7">
        <v>1500</v>
      </c>
      <c r="H471" s="25">
        <v>112.1</v>
      </c>
      <c r="I471" s="17">
        <v>1600</v>
      </c>
      <c r="J471" s="7">
        <v>140</v>
      </c>
      <c r="K471" s="7">
        <v>1200</v>
      </c>
      <c r="L471" s="7">
        <v>0.89</v>
      </c>
      <c r="M471" s="7">
        <f>(International_Education_Costs!$G471+International_Education_Costs!$I471+International_Education_Costs!$J471+International_Education_Costs!$K471)*International_Education_Costs!$L471</f>
        <v>3951.6</v>
      </c>
      <c r="N471" s="7">
        <f>International_Education_Costs!$G471+International_Education_Costs!$I471+International_Education_Costs!$J471+International_Education_Costs!$K471</f>
        <v>4440</v>
      </c>
    </row>
    <row r="472" spans="1:14" x14ac:dyDescent="0.3">
      <c r="A472" s="4" t="s">
        <v>44</v>
      </c>
      <c r="B472" s="4" t="s">
        <v>425</v>
      </c>
      <c r="C472" s="4" t="s">
        <v>650</v>
      </c>
      <c r="D472" s="4" t="s">
        <v>15</v>
      </c>
      <c r="E472" s="4" t="s">
        <v>16</v>
      </c>
      <c r="F472" s="4">
        <v>2</v>
      </c>
      <c r="G472" s="5">
        <v>4100</v>
      </c>
      <c r="H472" s="24">
        <v>76.5</v>
      </c>
      <c r="I472" s="16">
        <v>1300</v>
      </c>
      <c r="J472" s="5">
        <v>99</v>
      </c>
      <c r="K472" s="5">
        <v>850</v>
      </c>
      <c r="L472" s="5">
        <v>0.92</v>
      </c>
      <c r="M472" s="5">
        <f>(International_Education_Costs!$G472+International_Education_Costs!$I472+International_Education_Costs!$J472+International_Education_Costs!$K472)*International_Education_Costs!$L472</f>
        <v>5841.08</v>
      </c>
      <c r="N472" s="5">
        <f>International_Education_Costs!$G472+International_Education_Costs!$I472+International_Education_Costs!$J472+International_Education_Costs!$K472</f>
        <v>6349</v>
      </c>
    </row>
    <row r="473" spans="1:14" x14ac:dyDescent="0.3">
      <c r="A473" s="6" t="s">
        <v>68</v>
      </c>
      <c r="B473" s="6" t="s">
        <v>651</v>
      </c>
      <c r="C473" s="6" t="s">
        <v>652</v>
      </c>
      <c r="D473" s="6" t="s">
        <v>20</v>
      </c>
      <c r="E473" s="6" t="s">
        <v>122</v>
      </c>
      <c r="F473" s="6">
        <v>4</v>
      </c>
      <c r="G473" s="7">
        <v>14900</v>
      </c>
      <c r="H473" s="25">
        <v>70.099999999999994</v>
      </c>
      <c r="I473" s="17">
        <v>950</v>
      </c>
      <c r="J473" s="7">
        <v>150</v>
      </c>
      <c r="K473" s="7">
        <v>750</v>
      </c>
      <c r="L473" s="7">
        <v>0.92</v>
      </c>
      <c r="M473" s="7">
        <f>(International_Education_Costs!$G473+International_Education_Costs!$I473+International_Education_Costs!$J473+International_Education_Costs!$K473)*International_Education_Costs!$L473</f>
        <v>15410</v>
      </c>
      <c r="N473" s="7">
        <f>International_Education_Costs!$G473+International_Education_Costs!$I473+International_Education_Costs!$J473+International_Education_Costs!$K473</f>
        <v>16750</v>
      </c>
    </row>
    <row r="474" spans="1:14" x14ac:dyDescent="0.3">
      <c r="A474" s="4" t="s">
        <v>12</v>
      </c>
      <c r="B474" s="4" t="s">
        <v>653</v>
      </c>
      <c r="C474" s="4" t="s">
        <v>654</v>
      </c>
      <c r="D474" s="4" t="s">
        <v>71</v>
      </c>
      <c r="E474" s="4" t="s">
        <v>16</v>
      </c>
      <c r="F474" s="4">
        <v>2</v>
      </c>
      <c r="G474" s="5">
        <v>47000</v>
      </c>
      <c r="H474" s="24">
        <v>69.8</v>
      </c>
      <c r="I474" s="16">
        <v>1700</v>
      </c>
      <c r="J474" s="5">
        <v>160</v>
      </c>
      <c r="K474" s="5">
        <v>1500</v>
      </c>
      <c r="L474" s="5">
        <v>1</v>
      </c>
      <c r="M474" s="5">
        <f>(International_Education_Costs!$G474+International_Education_Costs!$I474+International_Education_Costs!$J474+International_Education_Costs!$K474)*International_Education_Costs!$L474</f>
        <v>50360</v>
      </c>
      <c r="N474" s="5">
        <f>International_Education_Costs!$G474+International_Education_Costs!$I474+International_Education_Costs!$J474+International_Education_Costs!$K474</f>
        <v>50360</v>
      </c>
    </row>
    <row r="475" spans="1:14" x14ac:dyDescent="0.3">
      <c r="A475" s="6" t="s">
        <v>17</v>
      </c>
      <c r="B475" s="6" t="s">
        <v>291</v>
      </c>
      <c r="C475" s="6" t="s">
        <v>655</v>
      </c>
      <c r="D475" s="6" t="s">
        <v>15</v>
      </c>
      <c r="E475" s="6" t="s">
        <v>75</v>
      </c>
      <c r="F475" s="6">
        <v>3</v>
      </c>
      <c r="G475" s="7">
        <v>34000</v>
      </c>
      <c r="H475" s="25">
        <v>63.2</v>
      </c>
      <c r="I475" s="17">
        <v>900</v>
      </c>
      <c r="J475" s="7">
        <v>485</v>
      </c>
      <c r="K475" s="7">
        <v>800</v>
      </c>
      <c r="L475" s="7">
        <v>0.79</v>
      </c>
      <c r="M475" s="7">
        <f>(International_Education_Costs!$G475+International_Education_Costs!$I475+International_Education_Costs!$J475+International_Education_Costs!$K475)*International_Education_Costs!$L475</f>
        <v>28586.15</v>
      </c>
      <c r="N475" s="7">
        <f>International_Education_Costs!$G475+International_Education_Costs!$I475+International_Education_Costs!$J475+International_Education_Costs!$K475</f>
        <v>36185</v>
      </c>
    </row>
    <row r="476" spans="1:14" x14ac:dyDescent="0.3">
      <c r="A476" s="4" t="s">
        <v>48</v>
      </c>
      <c r="B476" s="4" t="s">
        <v>442</v>
      </c>
      <c r="C476" s="4" t="s">
        <v>443</v>
      </c>
      <c r="D476" s="4" t="s">
        <v>20</v>
      </c>
      <c r="E476" s="4" t="s">
        <v>16</v>
      </c>
      <c r="F476" s="4">
        <v>2</v>
      </c>
      <c r="G476" s="5">
        <v>1500</v>
      </c>
      <c r="H476" s="24">
        <v>110.4</v>
      </c>
      <c r="I476" s="16">
        <v>1500</v>
      </c>
      <c r="J476" s="5">
        <v>140</v>
      </c>
      <c r="K476" s="5">
        <v>1200</v>
      </c>
      <c r="L476" s="5">
        <v>0.89</v>
      </c>
      <c r="M476" s="5">
        <f>(International_Education_Costs!$G476+International_Education_Costs!$I476+International_Education_Costs!$J476+International_Education_Costs!$K476)*International_Education_Costs!$L476</f>
        <v>3862.6</v>
      </c>
      <c r="N476" s="5">
        <f>International_Education_Costs!$G476+International_Education_Costs!$I476+International_Education_Costs!$J476+International_Education_Costs!$K476</f>
        <v>4340</v>
      </c>
    </row>
    <row r="477" spans="1:14" x14ac:dyDescent="0.3">
      <c r="A477" s="6" t="s">
        <v>44</v>
      </c>
      <c r="B477" s="6" t="s">
        <v>429</v>
      </c>
      <c r="C477" s="6" t="s">
        <v>656</v>
      </c>
      <c r="D477" s="6" t="s">
        <v>71</v>
      </c>
      <c r="E477" s="6" t="s">
        <v>122</v>
      </c>
      <c r="F477" s="6">
        <v>4</v>
      </c>
      <c r="G477" s="7">
        <v>4200</v>
      </c>
      <c r="H477" s="25">
        <v>69.8</v>
      </c>
      <c r="I477" s="17">
        <v>950</v>
      </c>
      <c r="J477" s="7">
        <v>99</v>
      </c>
      <c r="K477" s="7">
        <v>850</v>
      </c>
      <c r="L477" s="7">
        <v>0.92</v>
      </c>
      <c r="M477" s="7">
        <f>(International_Education_Costs!$G477+International_Education_Costs!$I477+International_Education_Costs!$J477+International_Education_Costs!$K477)*International_Education_Costs!$L477</f>
        <v>5611.08</v>
      </c>
      <c r="N477" s="7">
        <f>International_Education_Costs!$G477+International_Education_Costs!$I477+International_Education_Costs!$J477+International_Education_Costs!$K477</f>
        <v>6099</v>
      </c>
    </row>
    <row r="478" spans="1:14" x14ac:dyDescent="0.3">
      <c r="A478" s="4" t="s">
        <v>68</v>
      </c>
      <c r="B478" s="4" t="s">
        <v>657</v>
      </c>
      <c r="C478" s="4" t="s">
        <v>658</v>
      </c>
      <c r="D478" s="4" t="s">
        <v>15</v>
      </c>
      <c r="E478" s="4" t="s">
        <v>16</v>
      </c>
      <c r="F478" s="4">
        <v>2</v>
      </c>
      <c r="G478" s="5">
        <v>14500</v>
      </c>
      <c r="H478" s="24">
        <v>68.900000000000006</v>
      </c>
      <c r="I478" s="16">
        <v>900</v>
      </c>
      <c r="J478" s="5">
        <v>150</v>
      </c>
      <c r="K478" s="5">
        <v>750</v>
      </c>
      <c r="L478" s="5">
        <v>0.92</v>
      </c>
      <c r="M478" s="5">
        <f>(International_Education_Costs!$G478+International_Education_Costs!$I478+International_Education_Costs!$J478+International_Education_Costs!$K478)*International_Education_Costs!$L478</f>
        <v>14996</v>
      </c>
      <c r="N478" s="5">
        <f>International_Education_Costs!$G478+International_Education_Costs!$I478+International_Education_Costs!$J478+International_Education_Costs!$K478</f>
        <v>16300</v>
      </c>
    </row>
    <row r="479" spans="1:14" x14ac:dyDescent="0.3">
      <c r="A479" s="6" t="s">
        <v>12</v>
      </c>
      <c r="B479" s="6" t="s">
        <v>659</v>
      </c>
      <c r="C479" s="6" t="s">
        <v>660</v>
      </c>
      <c r="D479" s="6" t="s">
        <v>20</v>
      </c>
      <c r="E479" s="6" t="s">
        <v>16</v>
      </c>
      <c r="F479" s="6">
        <v>2</v>
      </c>
      <c r="G479" s="7">
        <v>45000</v>
      </c>
      <c r="H479" s="25">
        <v>71.2</v>
      </c>
      <c r="I479" s="17">
        <v>1600</v>
      </c>
      <c r="J479" s="7">
        <v>160</v>
      </c>
      <c r="K479" s="7">
        <v>1500</v>
      </c>
      <c r="L479" s="7">
        <v>1</v>
      </c>
      <c r="M479" s="7">
        <f>(International_Education_Costs!$G479+International_Education_Costs!$I479+International_Education_Costs!$J479+International_Education_Costs!$K479)*International_Education_Costs!$L479</f>
        <v>48260</v>
      </c>
      <c r="N479" s="7">
        <f>International_Education_Costs!$G479+International_Education_Costs!$I479+International_Education_Costs!$J479+International_Education_Costs!$K479</f>
        <v>48260</v>
      </c>
    </row>
    <row r="480" spans="1:14" x14ac:dyDescent="0.3">
      <c r="A480" s="4" t="s">
        <v>17</v>
      </c>
      <c r="B480" s="4" t="s">
        <v>97</v>
      </c>
      <c r="C480" s="4" t="s">
        <v>661</v>
      </c>
      <c r="D480" s="4" t="s">
        <v>15</v>
      </c>
      <c r="E480" s="4" t="s">
        <v>16</v>
      </c>
      <c r="F480" s="4">
        <v>1</v>
      </c>
      <c r="G480" s="5">
        <v>33000</v>
      </c>
      <c r="H480" s="24">
        <v>68.900000000000006</v>
      </c>
      <c r="I480" s="16">
        <v>1100</v>
      </c>
      <c r="J480" s="5">
        <v>485</v>
      </c>
      <c r="K480" s="5">
        <v>800</v>
      </c>
      <c r="L480" s="5">
        <v>0.79</v>
      </c>
      <c r="M480" s="5">
        <f>(International_Education_Costs!$G480+International_Education_Costs!$I480+International_Education_Costs!$J480+International_Education_Costs!$K480)*International_Education_Costs!$L480</f>
        <v>27954.15</v>
      </c>
      <c r="N480" s="5">
        <f>International_Education_Costs!$G480+International_Education_Costs!$I480+International_Education_Costs!$J480+International_Education_Costs!$K480</f>
        <v>35385</v>
      </c>
    </row>
    <row r="481" spans="1:14" x14ac:dyDescent="0.3">
      <c r="A481" s="6" t="s">
        <v>48</v>
      </c>
      <c r="B481" s="6" t="s">
        <v>447</v>
      </c>
      <c r="C481" s="6" t="s">
        <v>662</v>
      </c>
      <c r="D481" s="6" t="s">
        <v>71</v>
      </c>
      <c r="E481" s="6" t="s">
        <v>16</v>
      </c>
      <c r="F481" s="6">
        <v>2</v>
      </c>
      <c r="G481" s="7">
        <v>1500</v>
      </c>
      <c r="H481" s="25">
        <v>108.9</v>
      </c>
      <c r="I481" s="17">
        <v>1400</v>
      </c>
      <c r="J481" s="7">
        <v>140</v>
      </c>
      <c r="K481" s="7">
        <v>1200</v>
      </c>
      <c r="L481" s="7">
        <v>0.89</v>
      </c>
      <c r="M481" s="7">
        <f>(International_Education_Costs!$G481+International_Education_Costs!$I481+International_Education_Costs!$J481+International_Education_Costs!$K481)*International_Education_Costs!$L481</f>
        <v>3773.6</v>
      </c>
      <c r="N481" s="7">
        <f>International_Education_Costs!$G481+International_Education_Costs!$I481+International_Education_Costs!$J481+International_Education_Costs!$K481</f>
        <v>4240</v>
      </c>
    </row>
    <row r="482" spans="1:14" x14ac:dyDescent="0.3">
      <c r="A482" s="4" t="s">
        <v>44</v>
      </c>
      <c r="B482" s="4" t="s">
        <v>433</v>
      </c>
      <c r="C482" s="4" t="s">
        <v>434</v>
      </c>
      <c r="D482" s="4" t="s">
        <v>15</v>
      </c>
      <c r="E482" s="4" t="s">
        <v>16</v>
      </c>
      <c r="F482" s="4">
        <v>2</v>
      </c>
      <c r="G482" s="5">
        <v>4000</v>
      </c>
      <c r="H482" s="24">
        <v>70.2</v>
      </c>
      <c r="I482" s="16">
        <v>1000</v>
      </c>
      <c r="J482" s="5">
        <v>99</v>
      </c>
      <c r="K482" s="5">
        <v>850</v>
      </c>
      <c r="L482" s="5">
        <v>0.92</v>
      </c>
      <c r="M482" s="5">
        <f>(International_Education_Costs!$G482+International_Education_Costs!$I482+International_Education_Costs!$J482+International_Education_Costs!$K482)*International_Education_Costs!$L482</f>
        <v>5473.08</v>
      </c>
      <c r="N482" s="5">
        <f>International_Education_Costs!$G482+International_Education_Costs!$I482+International_Education_Costs!$J482+International_Education_Costs!$K482</f>
        <v>5949</v>
      </c>
    </row>
    <row r="483" spans="1:14" x14ac:dyDescent="0.3">
      <c r="A483" s="6" t="s">
        <v>68</v>
      </c>
      <c r="B483" s="6" t="s">
        <v>663</v>
      </c>
      <c r="C483" s="6" t="s">
        <v>664</v>
      </c>
      <c r="D483" s="6" t="s">
        <v>20</v>
      </c>
      <c r="E483" s="6" t="s">
        <v>75</v>
      </c>
      <c r="F483" s="6">
        <v>4</v>
      </c>
      <c r="G483" s="7">
        <v>14000</v>
      </c>
      <c r="H483" s="25">
        <v>67.5</v>
      </c>
      <c r="I483" s="17">
        <v>850</v>
      </c>
      <c r="J483" s="7">
        <v>150</v>
      </c>
      <c r="K483" s="7">
        <v>750</v>
      </c>
      <c r="L483" s="7">
        <v>0.92</v>
      </c>
      <c r="M483" s="7">
        <f>(International_Education_Costs!$G483+International_Education_Costs!$I483+International_Education_Costs!$J483+International_Education_Costs!$K483)*International_Education_Costs!$L483</f>
        <v>14490</v>
      </c>
      <c r="N483" s="7">
        <f>International_Education_Costs!$G483+International_Education_Costs!$I483+International_Education_Costs!$J483+International_Education_Costs!$K483</f>
        <v>15750</v>
      </c>
    </row>
    <row r="484" spans="1:14" x14ac:dyDescent="0.3">
      <c r="A484" s="4" t="s">
        <v>12</v>
      </c>
      <c r="B484" s="4" t="s">
        <v>286</v>
      </c>
      <c r="C484" s="4" t="s">
        <v>287</v>
      </c>
      <c r="D484" s="4" t="s">
        <v>15</v>
      </c>
      <c r="E484" s="4" t="s">
        <v>122</v>
      </c>
      <c r="F484" s="4">
        <v>4</v>
      </c>
      <c r="G484" s="5">
        <v>48000</v>
      </c>
      <c r="H484" s="24">
        <v>72.3</v>
      </c>
      <c r="I484" s="16">
        <v>1700</v>
      </c>
      <c r="J484" s="5">
        <v>160</v>
      </c>
      <c r="K484" s="5">
        <v>1500</v>
      </c>
      <c r="L484" s="5">
        <v>1</v>
      </c>
      <c r="M484" s="5">
        <f>(International_Education_Costs!$G484+International_Education_Costs!$I484+International_Education_Costs!$J484+International_Education_Costs!$K484)*International_Education_Costs!$L484</f>
        <v>51360</v>
      </c>
      <c r="N484" s="5">
        <f>International_Education_Costs!$G484+International_Education_Costs!$I484+International_Education_Costs!$J484+International_Education_Costs!$K484</f>
        <v>51360</v>
      </c>
    </row>
    <row r="485" spans="1:14" x14ac:dyDescent="0.3">
      <c r="A485" s="6" t="s">
        <v>17</v>
      </c>
      <c r="B485" s="6" t="s">
        <v>304</v>
      </c>
      <c r="C485" s="6" t="s">
        <v>305</v>
      </c>
      <c r="D485" s="6" t="s">
        <v>71</v>
      </c>
      <c r="E485" s="6" t="s">
        <v>16</v>
      </c>
      <c r="F485" s="6">
        <v>1</v>
      </c>
      <c r="G485" s="7">
        <v>34000</v>
      </c>
      <c r="H485" s="25">
        <v>64.5</v>
      </c>
      <c r="I485" s="17">
        <v>950</v>
      </c>
      <c r="J485" s="7">
        <v>485</v>
      </c>
      <c r="K485" s="7">
        <v>800</v>
      </c>
      <c r="L485" s="7">
        <v>0.79</v>
      </c>
      <c r="M485" s="7">
        <f>(International_Education_Costs!$G485+International_Education_Costs!$I485+International_Education_Costs!$J485+International_Education_Costs!$K485)*International_Education_Costs!$L485</f>
        <v>28625.65</v>
      </c>
      <c r="N485" s="7">
        <f>International_Education_Costs!$G485+International_Education_Costs!$I485+International_Education_Costs!$J485+International_Education_Costs!$K485</f>
        <v>36235</v>
      </c>
    </row>
    <row r="486" spans="1:14" x14ac:dyDescent="0.3">
      <c r="A486" s="4" t="s">
        <v>48</v>
      </c>
      <c r="B486" s="4" t="s">
        <v>449</v>
      </c>
      <c r="C486" s="4" t="s">
        <v>450</v>
      </c>
      <c r="D486" s="4" t="s">
        <v>15</v>
      </c>
      <c r="E486" s="4" t="s">
        <v>16</v>
      </c>
      <c r="F486" s="4">
        <v>2</v>
      </c>
      <c r="G486" s="5">
        <v>1500</v>
      </c>
      <c r="H486" s="24">
        <v>107.8</v>
      </c>
      <c r="I486" s="16">
        <v>1300</v>
      </c>
      <c r="J486" s="5">
        <v>140</v>
      </c>
      <c r="K486" s="5">
        <v>1200</v>
      </c>
      <c r="L486" s="5">
        <v>0.89</v>
      </c>
      <c r="M486" s="5">
        <f>(International_Education_Costs!$G486+International_Education_Costs!$I486+International_Education_Costs!$J486+International_Education_Costs!$K486)*International_Education_Costs!$L486</f>
        <v>3684.6</v>
      </c>
      <c r="N486" s="5">
        <f>International_Education_Costs!$G486+International_Education_Costs!$I486+International_Education_Costs!$J486+International_Education_Costs!$K486</f>
        <v>4140</v>
      </c>
    </row>
    <row r="487" spans="1:14" x14ac:dyDescent="0.3">
      <c r="A487" s="6" t="s">
        <v>44</v>
      </c>
      <c r="B487" s="6" t="s">
        <v>423</v>
      </c>
      <c r="C487" s="6" t="s">
        <v>424</v>
      </c>
      <c r="D487" s="6" t="s">
        <v>20</v>
      </c>
      <c r="E487" s="6" t="s">
        <v>16</v>
      </c>
      <c r="F487" s="6">
        <v>2</v>
      </c>
      <c r="G487" s="7">
        <v>4100</v>
      </c>
      <c r="H487" s="25">
        <v>71.5</v>
      </c>
      <c r="I487" s="17">
        <v>1100</v>
      </c>
      <c r="J487" s="7">
        <v>99</v>
      </c>
      <c r="K487" s="7">
        <v>850</v>
      </c>
      <c r="L487" s="7">
        <v>0.92</v>
      </c>
      <c r="M487" s="7">
        <f>(International_Education_Costs!$G487+International_Education_Costs!$I487+International_Education_Costs!$J487+International_Education_Costs!$K487)*International_Education_Costs!$L487</f>
        <v>5657.08</v>
      </c>
      <c r="N487" s="7">
        <f>International_Education_Costs!$G487+International_Education_Costs!$I487+International_Education_Costs!$J487+International_Education_Costs!$K487</f>
        <v>6149</v>
      </c>
    </row>
    <row r="488" spans="1:14" x14ac:dyDescent="0.3">
      <c r="A488" s="4" t="s">
        <v>68</v>
      </c>
      <c r="B488" s="4" t="s">
        <v>665</v>
      </c>
      <c r="C488" s="4" t="s">
        <v>666</v>
      </c>
      <c r="D488" s="4" t="s">
        <v>71</v>
      </c>
      <c r="E488" s="4" t="s">
        <v>16</v>
      </c>
      <c r="F488" s="4">
        <v>2</v>
      </c>
      <c r="G488" s="5">
        <v>13800</v>
      </c>
      <c r="H488" s="24">
        <v>66.7</v>
      </c>
      <c r="I488" s="16">
        <v>800</v>
      </c>
      <c r="J488" s="5">
        <v>150</v>
      </c>
      <c r="K488" s="5">
        <v>750</v>
      </c>
      <c r="L488" s="5">
        <v>0.92</v>
      </c>
      <c r="M488" s="5">
        <f>(International_Education_Costs!$G488+International_Education_Costs!$I488+International_Education_Costs!$J488+International_Education_Costs!$K488)*International_Education_Costs!$L488</f>
        <v>14260</v>
      </c>
      <c r="N488" s="5">
        <f>International_Education_Costs!$G488+International_Education_Costs!$I488+International_Education_Costs!$J488+International_Education_Costs!$K488</f>
        <v>15500</v>
      </c>
    </row>
    <row r="489" spans="1:14" x14ac:dyDescent="0.3">
      <c r="A489" s="6" t="s">
        <v>196</v>
      </c>
      <c r="B489" s="6" t="s">
        <v>197</v>
      </c>
      <c r="C489" s="6" t="s">
        <v>198</v>
      </c>
      <c r="D489" s="6" t="s">
        <v>15</v>
      </c>
      <c r="E489" s="6" t="s">
        <v>16</v>
      </c>
      <c r="F489" s="6">
        <v>2</v>
      </c>
      <c r="G489" s="7">
        <v>0</v>
      </c>
      <c r="H489" s="25">
        <v>83.2</v>
      </c>
      <c r="I489" s="17">
        <v>1400</v>
      </c>
      <c r="J489" s="7">
        <v>275</v>
      </c>
      <c r="K489" s="7">
        <v>700</v>
      </c>
      <c r="L489" s="7">
        <v>10.45</v>
      </c>
      <c r="M489" s="7">
        <f>(International_Education_Costs!$G489+International_Education_Costs!$I489+International_Education_Costs!$J489+International_Education_Costs!$K489)*International_Education_Costs!$L489</f>
        <v>24818.75</v>
      </c>
      <c r="N489" s="7">
        <f>International_Education_Costs!$G489+International_Education_Costs!$I489+International_Education_Costs!$J489+International_Education_Costs!$K489</f>
        <v>2375</v>
      </c>
    </row>
    <row r="490" spans="1:14" x14ac:dyDescent="0.3">
      <c r="A490" s="4" t="s">
        <v>193</v>
      </c>
      <c r="B490" s="4" t="s">
        <v>194</v>
      </c>
      <c r="C490" s="4" t="s">
        <v>195</v>
      </c>
      <c r="D490" s="4" t="s">
        <v>20</v>
      </c>
      <c r="E490" s="4" t="s">
        <v>16</v>
      </c>
      <c r="F490" s="4">
        <v>2</v>
      </c>
      <c r="G490" s="5">
        <v>0</v>
      </c>
      <c r="H490" s="24">
        <v>79.400000000000006</v>
      </c>
      <c r="I490" s="16">
        <v>1200</v>
      </c>
      <c r="J490" s="5">
        <v>350</v>
      </c>
      <c r="K490" s="5">
        <v>650</v>
      </c>
      <c r="L490" s="5">
        <v>0.92</v>
      </c>
      <c r="M490" s="5">
        <f>(International_Education_Costs!$G490+International_Education_Costs!$I490+International_Education_Costs!$J490+International_Education_Costs!$K490)*International_Education_Costs!$L490</f>
        <v>2024</v>
      </c>
      <c r="N490" s="5">
        <f>International_Education_Costs!$G490+International_Education_Costs!$I490+International_Education_Costs!$J490+International_Education_Costs!$K490</f>
        <v>2200</v>
      </c>
    </row>
    <row r="491" spans="1:14" x14ac:dyDescent="0.3">
      <c r="A491" s="6" t="s">
        <v>29</v>
      </c>
      <c r="B491" s="6" t="s">
        <v>181</v>
      </c>
      <c r="C491" s="6" t="s">
        <v>667</v>
      </c>
      <c r="D491" s="6" t="s">
        <v>32</v>
      </c>
      <c r="E491" s="6" t="s">
        <v>16</v>
      </c>
      <c r="F491" s="6">
        <v>2</v>
      </c>
      <c r="G491" s="7">
        <v>0</v>
      </c>
      <c r="H491" s="25">
        <v>68.900000000000006</v>
      </c>
      <c r="I491" s="17">
        <v>1100</v>
      </c>
      <c r="J491" s="7">
        <v>110</v>
      </c>
      <c r="K491" s="7">
        <v>900</v>
      </c>
      <c r="L491" s="7">
        <v>0.92</v>
      </c>
      <c r="M491" s="7">
        <f>(International_Education_Costs!$G491+International_Education_Costs!$I491+International_Education_Costs!$J491+International_Education_Costs!$K491)*International_Education_Costs!$L491</f>
        <v>1941.2</v>
      </c>
      <c r="N491" s="7">
        <f>International_Education_Costs!$G491+International_Education_Costs!$I491+International_Education_Costs!$J491+International_Education_Costs!$K491</f>
        <v>2110</v>
      </c>
    </row>
    <row r="492" spans="1:14" x14ac:dyDescent="0.3">
      <c r="A492" s="4" t="s">
        <v>56</v>
      </c>
      <c r="B492" s="4" t="s">
        <v>57</v>
      </c>
      <c r="C492" s="4" t="s">
        <v>58</v>
      </c>
      <c r="D492" s="4" t="s">
        <v>51</v>
      </c>
      <c r="E492" s="4" t="s">
        <v>122</v>
      </c>
      <c r="F492" s="4">
        <v>4</v>
      </c>
      <c r="G492" s="5">
        <v>0</v>
      </c>
      <c r="H492" s="24">
        <v>82.1</v>
      </c>
      <c r="I492" s="16">
        <v>1500</v>
      </c>
      <c r="J492" s="5">
        <v>450</v>
      </c>
      <c r="K492" s="5">
        <v>800</v>
      </c>
      <c r="L492" s="5">
        <v>7.45</v>
      </c>
      <c r="M492" s="5">
        <f>(International_Education_Costs!$G492+International_Education_Costs!$I492+International_Education_Costs!$J492+International_Education_Costs!$K492)*International_Education_Costs!$L492</f>
        <v>20487.5</v>
      </c>
      <c r="N492" s="5">
        <f>International_Education_Costs!$G492+International_Education_Costs!$I492+International_Education_Costs!$J492+International_Education_Costs!$K492</f>
        <v>2750</v>
      </c>
    </row>
    <row r="493" spans="1:14" x14ac:dyDescent="0.3">
      <c r="A493" s="6" t="s">
        <v>196</v>
      </c>
      <c r="B493" s="6" t="s">
        <v>668</v>
      </c>
      <c r="C493" s="6" t="s">
        <v>669</v>
      </c>
      <c r="D493" s="6" t="s">
        <v>137</v>
      </c>
      <c r="E493" s="6" t="s">
        <v>16</v>
      </c>
      <c r="F493" s="6">
        <v>2</v>
      </c>
      <c r="G493" s="7">
        <v>0</v>
      </c>
      <c r="H493" s="25">
        <v>75.599999999999994</v>
      </c>
      <c r="I493" s="17">
        <v>1100</v>
      </c>
      <c r="J493" s="7">
        <v>275</v>
      </c>
      <c r="K493" s="7">
        <v>700</v>
      </c>
      <c r="L493" s="7">
        <v>10.45</v>
      </c>
      <c r="M493" s="7">
        <f>(International_Education_Costs!$G493+International_Education_Costs!$I493+International_Education_Costs!$J493+International_Education_Costs!$K493)*International_Education_Costs!$L493</f>
        <v>21683.75</v>
      </c>
      <c r="N493" s="7">
        <f>International_Education_Costs!$G493+International_Education_Costs!$I493+International_Education_Costs!$J493+International_Education_Costs!$K493</f>
        <v>2075</v>
      </c>
    </row>
    <row r="494" spans="1:14" x14ac:dyDescent="0.3">
      <c r="A494" s="4" t="s">
        <v>193</v>
      </c>
      <c r="B494" s="4" t="s">
        <v>670</v>
      </c>
      <c r="C494" s="4" t="s">
        <v>671</v>
      </c>
      <c r="D494" s="4" t="s">
        <v>63</v>
      </c>
      <c r="E494" s="4" t="s">
        <v>75</v>
      </c>
      <c r="F494" s="4">
        <v>3</v>
      </c>
      <c r="G494" s="5">
        <v>0</v>
      </c>
      <c r="H494" s="24">
        <v>77.8</v>
      </c>
      <c r="I494" s="16">
        <v>1000</v>
      </c>
      <c r="J494" s="5">
        <v>350</v>
      </c>
      <c r="K494" s="5">
        <v>650</v>
      </c>
      <c r="L494" s="5">
        <v>0.92</v>
      </c>
      <c r="M494" s="5">
        <f>(International_Education_Costs!$G494+International_Education_Costs!$I494+International_Education_Costs!$J494+International_Education_Costs!$K494)*International_Education_Costs!$L494</f>
        <v>1840</v>
      </c>
      <c r="N494" s="5">
        <f>International_Education_Costs!$G494+International_Education_Costs!$I494+International_Education_Costs!$J494+International_Education_Costs!$K494</f>
        <v>2000</v>
      </c>
    </row>
    <row r="495" spans="1:14" x14ac:dyDescent="0.3">
      <c r="A495" s="6" t="s">
        <v>29</v>
      </c>
      <c r="B495" s="6" t="s">
        <v>30</v>
      </c>
      <c r="C495" s="6" t="s">
        <v>672</v>
      </c>
      <c r="D495" s="6" t="s">
        <v>99</v>
      </c>
      <c r="E495" s="6" t="s">
        <v>122</v>
      </c>
      <c r="F495" s="6">
        <v>4</v>
      </c>
      <c r="G495" s="7">
        <v>0</v>
      </c>
      <c r="H495" s="25">
        <v>71.5</v>
      </c>
      <c r="I495" s="17">
        <v>1300</v>
      </c>
      <c r="J495" s="7">
        <v>110</v>
      </c>
      <c r="K495" s="7">
        <v>900</v>
      </c>
      <c r="L495" s="7">
        <v>0.92</v>
      </c>
      <c r="M495" s="7">
        <f>(International_Education_Costs!$G495+International_Education_Costs!$I495+International_Education_Costs!$J495+International_Education_Costs!$K495)*International_Education_Costs!$L495</f>
        <v>2125.2000000000003</v>
      </c>
      <c r="N495" s="7">
        <f>International_Education_Costs!$G495+International_Education_Costs!$I495+International_Education_Costs!$J495+International_Education_Costs!$K495</f>
        <v>2310</v>
      </c>
    </row>
    <row r="496" spans="1:14" x14ac:dyDescent="0.3">
      <c r="A496" s="4" t="s">
        <v>56</v>
      </c>
      <c r="B496" s="4" t="s">
        <v>460</v>
      </c>
      <c r="C496" s="4" t="s">
        <v>461</v>
      </c>
      <c r="D496" s="4" t="s">
        <v>71</v>
      </c>
      <c r="E496" s="4" t="s">
        <v>16</v>
      </c>
      <c r="F496" s="4">
        <v>2</v>
      </c>
      <c r="G496" s="5">
        <v>0</v>
      </c>
      <c r="H496" s="24">
        <v>76.5</v>
      </c>
      <c r="I496" s="16">
        <v>1200</v>
      </c>
      <c r="J496" s="5">
        <v>450</v>
      </c>
      <c r="K496" s="5">
        <v>800</v>
      </c>
      <c r="L496" s="5">
        <v>7.45</v>
      </c>
      <c r="M496" s="5">
        <f>(International_Education_Costs!$G496+International_Education_Costs!$I496+International_Education_Costs!$J496+International_Education_Costs!$K496)*International_Education_Costs!$L496</f>
        <v>18252.5</v>
      </c>
      <c r="N496" s="5">
        <f>International_Education_Costs!$G496+International_Education_Costs!$I496+International_Education_Costs!$J496+International_Education_Costs!$K496</f>
        <v>2450</v>
      </c>
    </row>
    <row r="497" spans="1:14" x14ac:dyDescent="0.3">
      <c r="A497" s="6" t="s">
        <v>196</v>
      </c>
      <c r="B497" s="6" t="s">
        <v>673</v>
      </c>
      <c r="C497" s="6" t="s">
        <v>674</v>
      </c>
      <c r="D497" s="6" t="s">
        <v>40</v>
      </c>
      <c r="E497" s="6" t="s">
        <v>16</v>
      </c>
      <c r="F497" s="6">
        <v>2</v>
      </c>
      <c r="G497" s="7">
        <v>0</v>
      </c>
      <c r="H497" s="25">
        <v>74.3</v>
      </c>
      <c r="I497" s="17">
        <v>1200</v>
      </c>
      <c r="J497" s="7">
        <v>275</v>
      </c>
      <c r="K497" s="7">
        <v>700</v>
      </c>
      <c r="L497" s="7">
        <v>10.45</v>
      </c>
      <c r="M497" s="7">
        <f>(International_Education_Costs!$G497+International_Education_Costs!$I497+International_Education_Costs!$J497+International_Education_Costs!$K497)*International_Education_Costs!$L497</f>
        <v>22728.75</v>
      </c>
      <c r="N497" s="7">
        <f>International_Education_Costs!$G497+International_Education_Costs!$I497+International_Education_Costs!$J497+International_Education_Costs!$K497</f>
        <v>2175</v>
      </c>
    </row>
    <row r="498" spans="1:14" x14ac:dyDescent="0.3">
      <c r="A498" s="4" t="s">
        <v>193</v>
      </c>
      <c r="B498" s="4" t="s">
        <v>675</v>
      </c>
      <c r="C498" s="4" t="s">
        <v>676</v>
      </c>
      <c r="D498" s="4" t="s">
        <v>208</v>
      </c>
      <c r="E498" s="4" t="s">
        <v>16</v>
      </c>
      <c r="F498" s="4">
        <v>2</v>
      </c>
      <c r="G498" s="5">
        <v>0</v>
      </c>
      <c r="H498" s="24">
        <v>72.099999999999994</v>
      </c>
      <c r="I498" s="16">
        <v>900</v>
      </c>
      <c r="J498" s="5">
        <v>350</v>
      </c>
      <c r="K498" s="5">
        <v>650</v>
      </c>
      <c r="L498" s="5">
        <v>0.92</v>
      </c>
      <c r="M498" s="5">
        <f>(International_Education_Costs!$G498+International_Education_Costs!$I498+International_Education_Costs!$J498+International_Education_Costs!$K498)*International_Education_Costs!$L498</f>
        <v>1748</v>
      </c>
      <c r="N498" s="5">
        <f>International_Education_Costs!$G498+International_Education_Costs!$I498+International_Education_Costs!$J498+International_Education_Costs!$K498</f>
        <v>1900</v>
      </c>
    </row>
    <row r="499" spans="1:14" x14ac:dyDescent="0.3">
      <c r="A499" s="6" t="s">
        <v>29</v>
      </c>
      <c r="B499" s="6" t="s">
        <v>246</v>
      </c>
      <c r="C499" s="6" t="s">
        <v>247</v>
      </c>
      <c r="D499" s="6" t="s">
        <v>15</v>
      </c>
      <c r="E499" s="6" t="s">
        <v>75</v>
      </c>
      <c r="F499" s="6">
        <v>3</v>
      </c>
      <c r="G499" s="7">
        <v>0</v>
      </c>
      <c r="H499" s="25">
        <v>65.400000000000006</v>
      </c>
      <c r="I499" s="17">
        <v>900</v>
      </c>
      <c r="J499" s="7">
        <v>110</v>
      </c>
      <c r="K499" s="7">
        <v>900</v>
      </c>
      <c r="L499" s="7">
        <v>0.92</v>
      </c>
      <c r="M499" s="7">
        <f>(International_Education_Costs!$G499+International_Education_Costs!$I499+International_Education_Costs!$J499+International_Education_Costs!$K499)*International_Education_Costs!$L499</f>
        <v>1757.2</v>
      </c>
      <c r="N499" s="7">
        <f>International_Education_Costs!$G499+International_Education_Costs!$I499+International_Education_Costs!$J499+International_Education_Costs!$K499</f>
        <v>1910</v>
      </c>
    </row>
    <row r="500" spans="1:14" x14ac:dyDescent="0.3">
      <c r="A500" s="4" t="s">
        <v>56</v>
      </c>
      <c r="B500" s="4" t="s">
        <v>677</v>
      </c>
      <c r="C500" s="4" t="s">
        <v>678</v>
      </c>
      <c r="D500" s="4" t="s">
        <v>631</v>
      </c>
      <c r="E500" s="4" t="s">
        <v>16</v>
      </c>
      <c r="F500" s="4">
        <v>2</v>
      </c>
      <c r="G500" s="5">
        <v>0</v>
      </c>
      <c r="H500" s="24">
        <v>73.2</v>
      </c>
      <c r="I500" s="16">
        <v>1100</v>
      </c>
      <c r="J500" s="5">
        <v>450</v>
      </c>
      <c r="K500" s="5">
        <v>800</v>
      </c>
      <c r="L500" s="5">
        <v>7.45</v>
      </c>
      <c r="M500" s="5">
        <f>(International_Education_Costs!$G500+International_Education_Costs!$I500+International_Education_Costs!$J500+International_Education_Costs!$K500)*International_Education_Costs!$L500</f>
        <v>17507.5</v>
      </c>
      <c r="N500" s="5">
        <f>International_Education_Costs!$G500+International_Education_Costs!$I500+International_Education_Costs!$J500+International_Education_Costs!$K500</f>
        <v>2350</v>
      </c>
    </row>
    <row r="501" spans="1:14" x14ac:dyDescent="0.3">
      <c r="A501" s="6" t="s">
        <v>196</v>
      </c>
      <c r="B501" s="6" t="s">
        <v>679</v>
      </c>
      <c r="C501" s="6" t="s">
        <v>680</v>
      </c>
      <c r="D501" s="6" t="s">
        <v>681</v>
      </c>
      <c r="E501" s="6" t="s">
        <v>122</v>
      </c>
      <c r="F501" s="6">
        <v>4</v>
      </c>
      <c r="G501" s="7">
        <v>0</v>
      </c>
      <c r="H501" s="25">
        <v>71.2</v>
      </c>
      <c r="I501" s="17">
        <v>1000</v>
      </c>
      <c r="J501" s="7">
        <v>275</v>
      </c>
      <c r="K501" s="7">
        <v>700</v>
      </c>
      <c r="L501" s="7">
        <v>10.45</v>
      </c>
      <c r="M501" s="7">
        <f>(International_Education_Costs!$G501+International_Education_Costs!$I501+International_Education_Costs!$J501+International_Education_Costs!$K501)*International_Education_Costs!$L501</f>
        <v>20638.75</v>
      </c>
      <c r="N501" s="7">
        <f>International_Education_Costs!$G501+International_Education_Costs!$I501+International_Education_Costs!$J501+International_Education_Costs!$K501</f>
        <v>1975</v>
      </c>
    </row>
    <row r="502" spans="1:14" x14ac:dyDescent="0.3">
      <c r="A502" s="4" t="s">
        <v>193</v>
      </c>
      <c r="B502" s="4" t="s">
        <v>682</v>
      </c>
      <c r="C502" s="4" t="s">
        <v>683</v>
      </c>
      <c r="D502" s="4" t="s">
        <v>59</v>
      </c>
      <c r="E502" s="4" t="s">
        <v>16</v>
      </c>
      <c r="F502" s="4">
        <v>2</v>
      </c>
      <c r="G502" s="5">
        <v>0</v>
      </c>
      <c r="H502" s="24">
        <v>71.8</v>
      </c>
      <c r="I502" s="16">
        <v>850</v>
      </c>
      <c r="J502" s="5">
        <v>350</v>
      </c>
      <c r="K502" s="5">
        <v>650</v>
      </c>
      <c r="L502" s="5">
        <v>0.92</v>
      </c>
      <c r="M502" s="5">
        <f>(International_Education_Costs!$G502+International_Education_Costs!$I502+International_Education_Costs!$J502+International_Education_Costs!$K502)*International_Education_Costs!$L502</f>
        <v>1702</v>
      </c>
      <c r="N502" s="5">
        <f>International_Education_Costs!$G502+International_Education_Costs!$I502+International_Education_Costs!$J502+International_Education_Costs!$K502</f>
        <v>1850</v>
      </c>
    </row>
    <row r="503" spans="1:14" x14ac:dyDescent="0.3">
      <c r="A503" s="6" t="s">
        <v>29</v>
      </c>
      <c r="B503" s="6" t="s">
        <v>250</v>
      </c>
      <c r="C503" s="6" t="s">
        <v>251</v>
      </c>
      <c r="D503" s="6" t="s">
        <v>125</v>
      </c>
      <c r="E503" s="6" t="s">
        <v>16</v>
      </c>
      <c r="F503" s="6">
        <v>2</v>
      </c>
      <c r="G503" s="7">
        <v>0</v>
      </c>
      <c r="H503" s="25">
        <v>69.8</v>
      </c>
      <c r="I503" s="17">
        <v>1200</v>
      </c>
      <c r="J503" s="7">
        <v>110</v>
      </c>
      <c r="K503" s="7">
        <v>900</v>
      </c>
      <c r="L503" s="7">
        <v>0.92</v>
      </c>
      <c r="M503" s="7">
        <f>(International_Education_Costs!$G503+International_Education_Costs!$I503+International_Education_Costs!$J503+International_Education_Costs!$K503)*International_Education_Costs!$L503</f>
        <v>2033.2</v>
      </c>
      <c r="N503" s="7">
        <f>International_Education_Costs!$G503+International_Education_Costs!$I503+International_Education_Costs!$J503+International_Education_Costs!$K503</f>
        <v>2210</v>
      </c>
    </row>
    <row r="504" spans="1:14" x14ac:dyDescent="0.3">
      <c r="A504" s="4" t="s">
        <v>56</v>
      </c>
      <c r="B504" s="4" t="s">
        <v>159</v>
      </c>
      <c r="C504" s="4" t="s">
        <v>160</v>
      </c>
      <c r="D504" s="4" t="s">
        <v>684</v>
      </c>
      <c r="E504" s="4" t="s">
        <v>75</v>
      </c>
      <c r="F504" s="4">
        <v>3</v>
      </c>
      <c r="G504" s="5">
        <v>0</v>
      </c>
      <c r="H504" s="24">
        <v>71.5</v>
      </c>
      <c r="I504" s="16">
        <v>1000</v>
      </c>
      <c r="J504" s="5">
        <v>450</v>
      </c>
      <c r="K504" s="5">
        <v>800</v>
      </c>
      <c r="L504" s="5">
        <v>7.45</v>
      </c>
      <c r="M504" s="5">
        <f>(International_Education_Costs!$G504+International_Education_Costs!$I504+International_Education_Costs!$J504+International_Education_Costs!$K504)*International_Education_Costs!$L504</f>
        <v>16762.5</v>
      </c>
      <c r="N504" s="5">
        <f>International_Education_Costs!$G504+International_Education_Costs!$I504+International_Education_Costs!$J504+International_Education_Costs!$K504</f>
        <v>2250</v>
      </c>
    </row>
    <row r="505" spans="1:14" x14ac:dyDescent="0.3">
      <c r="A505" s="6" t="s">
        <v>196</v>
      </c>
      <c r="B505" s="6" t="s">
        <v>685</v>
      </c>
      <c r="C505" s="6" t="s">
        <v>686</v>
      </c>
      <c r="D505" s="6" t="s">
        <v>687</v>
      </c>
      <c r="E505" s="6" t="s">
        <v>16</v>
      </c>
      <c r="F505" s="6">
        <v>2</v>
      </c>
      <c r="G505" s="7">
        <v>0</v>
      </c>
      <c r="H505" s="25">
        <v>72.400000000000006</v>
      </c>
      <c r="I505" s="17">
        <v>1100</v>
      </c>
      <c r="J505" s="7">
        <v>275</v>
      </c>
      <c r="K505" s="7">
        <v>700</v>
      </c>
      <c r="L505" s="7">
        <v>10.45</v>
      </c>
      <c r="M505" s="7">
        <f>(International_Education_Costs!$G505+International_Education_Costs!$I505+International_Education_Costs!$J505+International_Education_Costs!$K505)*International_Education_Costs!$L505</f>
        <v>21683.75</v>
      </c>
      <c r="N505" s="7">
        <f>International_Education_Costs!$G505+International_Education_Costs!$I505+International_Education_Costs!$J505+International_Education_Costs!$K505</f>
        <v>2075</v>
      </c>
    </row>
    <row r="506" spans="1:14" x14ac:dyDescent="0.3">
      <c r="A506" s="4" t="s">
        <v>193</v>
      </c>
      <c r="B506" s="4" t="s">
        <v>688</v>
      </c>
      <c r="C506" s="4" t="s">
        <v>689</v>
      </c>
      <c r="D506" s="4" t="s">
        <v>15</v>
      </c>
      <c r="E506" s="4" t="s">
        <v>122</v>
      </c>
      <c r="F506" s="4">
        <v>4</v>
      </c>
      <c r="G506" s="5">
        <v>0</v>
      </c>
      <c r="H506" s="24">
        <v>70.2</v>
      </c>
      <c r="I506" s="16">
        <v>800</v>
      </c>
      <c r="J506" s="5">
        <v>350</v>
      </c>
      <c r="K506" s="5">
        <v>650</v>
      </c>
      <c r="L506" s="5">
        <v>0.92</v>
      </c>
      <c r="M506" s="5">
        <f>(International_Education_Costs!$G506+International_Education_Costs!$I506+International_Education_Costs!$J506+International_Education_Costs!$K506)*International_Education_Costs!$L506</f>
        <v>1656</v>
      </c>
      <c r="N506" s="5">
        <f>International_Education_Costs!$G506+International_Education_Costs!$I506+International_Education_Costs!$J506+International_Education_Costs!$K506</f>
        <v>1800</v>
      </c>
    </row>
    <row r="507" spans="1:14" x14ac:dyDescent="0.3">
      <c r="A507" s="6" t="s">
        <v>29</v>
      </c>
      <c r="B507" s="6" t="s">
        <v>248</v>
      </c>
      <c r="C507" s="6" t="s">
        <v>249</v>
      </c>
      <c r="D507" s="6" t="s">
        <v>90</v>
      </c>
      <c r="E507" s="6" t="s">
        <v>16</v>
      </c>
      <c r="F507" s="6">
        <v>2</v>
      </c>
      <c r="G507" s="7">
        <v>0</v>
      </c>
      <c r="H507" s="25">
        <v>68.7</v>
      </c>
      <c r="I507" s="17">
        <v>1100</v>
      </c>
      <c r="J507" s="7">
        <v>110</v>
      </c>
      <c r="K507" s="7">
        <v>900</v>
      </c>
      <c r="L507" s="7">
        <v>0.92</v>
      </c>
      <c r="M507" s="7">
        <f>(International_Education_Costs!$G507+International_Education_Costs!$I507+International_Education_Costs!$J507+International_Education_Costs!$K507)*International_Education_Costs!$L507</f>
        <v>1941.2</v>
      </c>
      <c r="N507" s="7">
        <f>International_Education_Costs!$G507+International_Education_Costs!$I507+International_Education_Costs!$J507+International_Education_Costs!$K507</f>
        <v>2110</v>
      </c>
    </row>
    <row r="508" spans="1:14" x14ac:dyDescent="0.3">
      <c r="A508" s="4" t="s">
        <v>56</v>
      </c>
      <c r="B508" s="4" t="s">
        <v>690</v>
      </c>
      <c r="C508" s="4" t="s">
        <v>691</v>
      </c>
      <c r="D508" s="4" t="s">
        <v>199</v>
      </c>
      <c r="E508" s="4" t="s">
        <v>16</v>
      </c>
      <c r="F508" s="4">
        <v>2</v>
      </c>
      <c r="G508" s="5">
        <v>0</v>
      </c>
      <c r="H508" s="24">
        <v>70.8</v>
      </c>
      <c r="I508" s="16">
        <v>1000</v>
      </c>
      <c r="J508" s="5">
        <v>450</v>
      </c>
      <c r="K508" s="5">
        <v>800</v>
      </c>
      <c r="L508" s="5">
        <v>7.45</v>
      </c>
      <c r="M508" s="5">
        <f>(International_Education_Costs!$G508+International_Education_Costs!$I508+International_Education_Costs!$J508+International_Education_Costs!$K508)*International_Education_Costs!$L508</f>
        <v>16762.5</v>
      </c>
      <c r="N508" s="5">
        <f>International_Education_Costs!$G508+International_Education_Costs!$I508+International_Education_Costs!$J508+International_Education_Costs!$K508</f>
        <v>2250</v>
      </c>
    </row>
    <row r="509" spans="1:14" x14ac:dyDescent="0.3">
      <c r="A509" s="6" t="s">
        <v>196</v>
      </c>
      <c r="B509" s="6" t="s">
        <v>692</v>
      </c>
      <c r="C509" s="6" t="s">
        <v>693</v>
      </c>
      <c r="D509" s="6" t="s">
        <v>631</v>
      </c>
      <c r="E509" s="6" t="s">
        <v>16</v>
      </c>
      <c r="F509" s="6">
        <v>2</v>
      </c>
      <c r="G509" s="7">
        <v>0</v>
      </c>
      <c r="H509" s="25">
        <v>70.5</v>
      </c>
      <c r="I509" s="17">
        <v>900</v>
      </c>
      <c r="J509" s="7">
        <v>275</v>
      </c>
      <c r="K509" s="7">
        <v>700</v>
      </c>
      <c r="L509" s="7">
        <v>10.45</v>
      </c>
      <c r="M509" s="7">
        <f>(International_Education_Costs!$G509+International_Education_Costs!$I509+International_Education_Costs!$J509+International_Education_Costs!$K509)*International_Education_Costs!$L509</f>
        <v>19593.75</v>
      </c>
      <c r="N509" s="7">
        <f>International_Education_Costs!$G509+International_Education_Costs!$I509+International_Education_Costs!$J509+International_Education_Costs!$K509</f>
        <v>1875</v>
      </c>
    </row>
    <row r="510" spans="1:14" x14ac:dyDescent="0.3">
      <c r="A510" s="4" t="s">
        <v>193</v>
      </c>
      <c r="B510" s="4" t="s">
        <v>694</v>
      </c>
      <c r="C510" s="4" t="s">
        <v>695</v>
      </c>
      <c r="D510" s="4" t="s">
        <v>696</v>
      </c>
      <c r="E510" s="4" t="s">
        <v>16</v>
      </c>
      <c r="F510" s="4">
        <v>2</v>
      </c>
      <c r="G510" s="5">
        <v>0</v>
      </c>
      <c r="H510" s="24">
        <v>69.8</v>
      </c>
      <c r="I510" s="16">
        <v>800</v>
      </c>
      <c r="J510" s="5">
        <v>350</v>
      </c>
      <c r="K510" s="5">
        <v>650</v>
      </c>
      <c r="L510" s="5">
        <v>0.92</v>
      </c>
      <c r="M510" s="5">
        <f>(International_Education_Costs!$G510+International_Education_Costs!$I510+International_Education_Costs!$J510+International_Education_Costs!$K510)*International_Education_Costs!$L510</f>
        <v>1656</v>
      </c>
      <c r="N510" s="5">
        <f>International_Education_Costs!$G510+International_Education_Costs!$I510+International_Education_Costs!$J510+International_Education_Costs!$K510</f>
        <v>1800</v>
      </c>
    </row>
    <row r="511" spans="1:14" x14ac:dyDescent="0.3">
      <c r="A511" s="6" t="s">
        <v>29</v>
      </c>
      <c r="B511" s="6" t="s">
        <v>255</v>
      </c>
      <c r="C511" s="6" t="s">
        <v>256</v>
      </c>
      <c r="D511" s="6" t="s">
        <v>697</v>
      </c>
      <c r="E511" s="6" t="s">
        <v>122</v>
      </c>
      <c r="F511" s="6">
        <v>4</v>
      </c>
      <c r="G511" s="7">
        <v>0</v>
      </c>
      <c r="H511" s="25">
        <v>67.900000000000006</v>
      </c>
      <c r="I511" s="17">
        <v>1000</v>
      </c>
      <c r="J511" s="7">
        <v>110</v>
      </c>
      <c r="K511" s="7">
        <v>900</v>
      </c>
      <c r="L511" s="7">
        <v>0.92</v>
      </c>
      <c r="M511" s="7">
        <f>(International_Education_Costs!$G511+International_Education_Costs!$I511+International_Education_Costs!$J511+International_Education_Costs!$K511)*International_Education_Costs!$L511</f>
        <v>1849.2</v>
      </c>
      <c r="N511" s="7">
        <f>International_Education_Costs!$G511+International_Education_Costs!$I511+International_Education_Costs!$J511+International_Education_Costs!$K511</f>
        <v>2010</v>
      </c>
    </row>
    <row r="512" spans="1:14" x14ac:dyDescent="0.3">
      <c r="A512" s="4" t="s">
        <v>56</v>
      </c>
      <c r="B512" s="4" t="s">
        <v>698</v>
      </c>
      <c r="C512" s="4" t="s">
        <v>699</v>
      </c>
      <c r="D512" s="4" t="s">
        <v>700</v>
      </c>
      <c r="E512" s="4" t="s">
        <v>16</v>
      </c>
      <c r="F512" s="4">
        <v>2</v>
      </c>
      <c r="G512" s="5">
        <v>0</v>
      </c>
      <c r="H512" s="24">
        <v>81.2</v>
      </c>
      <c r="I512" s="16">
        <v>1400</v>
      </c>
      <c r="J512" s="5">
        <v>450</v>
      </c>
      <c r="K512" s="5">
        <v>800</v>
      </c>
      <c r="L512" s="5">
        <v>7.45</v>
      </c>
      <c r="M512" s="5">
        <f>(International_Education_Costs!$G512+International_Education_Costs!$I512+International_Education_Costs!$J512+International_Education_Costs!$K512)*International_Education_Costs!$L512</f>
        <v>19742.5</v>
      </c>
      <c r="N512" s="5">
        <f>International_Education_Costs!$G512+International_Education_Costs!$I512+International_Education_Costs!$J512+International_Education_Costs!$K512</f>
        <v>2650</v>
      </c>
    </row>
    <row r="513" spans="1:14" x14ac:dyDescent="0.3">
      <c r="A513" s="6" t="s">
        <v>196</v>
      </c>
      <c r="B513" s="6" t="s">
        <v>701</v>
      </c>
      <c r="C513" s="6" t="s">
        <v>702</v>
      </c>
      <c r="D513" s="6" t="s">
        <v>79</v>
      </c>
      <c r="E513" s="6" t="s">
        <v>75</v>
      </c>
      <c r="F513" s="6">
        <v>3</v>
      </c>
      <c r="G513" s="7">
        <v>0</v>
      </c>
      <c r="H513" s="25">
        <v>69.400000000000006</v>
      </c>
      <c r="I513" s="17">
        <v>850</v>
      </c>
      <c r="J513" s="7">
        <v>275</v>
      </c>
      <c r="K513" s="7">
        <v>700</v>
      </c>
      <c r="L513" s="7">
        <v>10.45</v>
      </c>
      <c r="M513" s="7">
        <f>(International_Education_Costs!$G513+International_Education_Costs!$I513+International_Education_Costs!$J513+International_Education_Costs!$K513)*International_Education_Costs!$L513</f>
        <v>19071.25</v>
      </c>
      <c r="N513" s="7">
        <f>International_Education_Costs!$G513+International_Education_Costs!$I513+International_Education_Costs!$J513+International_Education_Costs!$K513</f>
        <v>1825</v>
      </c>
    </row>
    <row r="514" spans="1:14" x14ac:dyDescent="0.3">
      <c r="A514" s="4" t="s">
        <v>193</v>
      </c>
      <c r="B514" s="4" t="s">
        <v>703</v>
      </c>
      <c r="C514" s="4" t="s">
        <v>704</v>
      </c>
      <c r="D514" s="4" t="s">
        <v>20</v>
      </c>
      <c r="E514" s="4" t="s">
        <v>16</v>
      </c>
      <c r="F514" s="4">
        <v>2</v>
      </c>
      <c r="G514" s="5">
        <v>0</v>
      </c>
      <c r="H514" s="24">
        <v>68.7</v>
      </c>
      <c r="I514" s="16">
        <v>750</v>
      </c>
      <c r="J514" s="5">
        <v>350</v>
      </c>
      <c r="K514" s="5">
        <v>650</v>
      </c>
      <c r="L514" s="5">
        <v>0.92</v>
      </c>
      <c r="M514" s="5">
        <f>(International_Education_Costs!$G514+International_Education_Costs!$I514+International_Education_Costs!$J514+International_Education_Costs!$K514)*International_Education_Costs!$L514</f>
        <v>1610</v>
      </c>
      <c r="N514" s="5">
        <f>International_Education_Costs!$G514+International_Education_Costs!$I514+International_Education_Costs!$J514+International_Education_Costs!$K514</f>
        <v>1750</v>
      </c>
    </row>
    <row r="515" spans="1:14" x14ac:dyDescent="0.3">
      <c r="A515" s="6" t="s">
        <v>29</v>
      </c>
      <c r="B515" s="6" t="s">
        <v>257</v>
      </c>
      <c r="C515" s="6" t="s">
        <v>258</v>
      </c>
      <c r="D515" s="6" t="s">
        <v>63</v>
      </c>
      <c r="E515" s="6" t="s">
        <v>16</v>
      </c>
      <c r="F515" s="6">
        <v>2</v>
      </c>
      <c r="G515" s="7">
        <v>0</v>
      </c>
      <c r="H515" s="25">
        <v>66.8</v>
      </c>
      <c r="I515" s="17">
        <v>950</v>
      </c>
      <c r="J515" s="7">
        <v>110</v>
      </c>
      <c r="K515" s="7">
        <v>900</v>
      </c>
      <c r="L515" s="7">
        <v>0.92</v>
      </c>
      <c r="M515" s="7">
        <f>(International_Education_Costs!$G515+International_Education_Costs!$I515+International_Education_Costs!$J515+International_Education_Costs!$K515)*International_Education_Costs!$L515</f>
        <v>1803.2</v>
      </c>
      <c r="N515" s="7">
        <f>International_Education_Costs!$G515+International_Education_Costs!$I515+International_Education_Costs!$J515+International_Education_Costs!$K515</f>
        <v>1960</v>
      </c>
    </row>
    <row r="516" spans="1:14" x14ac:dyDescent="0.3">
      <c r="A516" s="4" t="s">
        <v>56</v>
      </c>
      <c r="B516" s="4" t="s">
        <v>705</v>
      </c>
      <c r="C516" s="4" t="s">
        <v>678</v>
      </c>
      <c r="D516" s="4" t="s">
        <v>208</v>
      </c>
      <c r="E516" s="4" t="s">
        <v>122</v>
      </c>
      <c r="F516" s="4">
        <v>4</v>
      </c>
      <c r="G516" s="5">
        <v>0</v>
      </c>
      <c r="H516" s="24">
        <v>69.5</v>
      </c>
      <c r="I516" s="16">
        <v>900</v>
      </c>
      <c r="J516" s="5">
        <v>450</v>
      </c>
      <c r="K516" s="5">
        <v>800</v>
      </c>
      <c r="L516" s="5">
        <v>7.45</v>
      </c>
      <c r="M516" s="5">
        <f>(International_Education_Costs!$G516+International_Education_Costs!$I516+International_Education_Costs!$J516+International_Education_Costs!$K516)*International_Education_Costs!$L516</f>
        <v>16017.5</v>
      </c>
      <c r="N516" s="5">
        <f>International_Education_Costs!$G516+International_Education_Costs!$I516+International_Education_Costs!$J516+International_Education_Costs!$K516</f>
        <v>2150</v>
      </c>
    </row>
    <row r="517" spans="1:14" x14ac:dyDescent="0.3">
      <c r="A517" s="6" t="s">
        <v>196</v>
      </c>
      <c r="B517" s="6" t="s">
        <v>706</v>
      </c>
      <c r="C517" s="6" t="s">
        <v>707</v>
      </c>
      <c r="D517" s="6" t="s">
        <v>503</v>
      </c>
      <c r="E517" s="6" t="s">
        <v>16</v>
      </c>
      <c r="F517" s="6">
        <v>2</v>
      </c>
      <c r="G517" s="7">
        <v>0</v>
      </c>
      <c r="H517" s="25">
        <v>68.900000000000006</v>
      </c>
      <c r="I517" s="17">
        <v>800</v>
      </c>
      <c r="J517" s="7">
        <v>275</v>
      </c>
      <c r="K517" s="7">
        <v>700</v>
      </c>
      <c r="L517" s="7">
        <v>10.45</v>
      </c>
      <c r="M517" s="7">
        <f>(International_Education_Costs!$G517+International_Education_Costs!$I517+International_Education_Costs!$J517+International_Education_Costs!$K517)*International_Education_Costs!$L517</f>
        <v>18548.75</v>
      </c>
      <c r="N517" s="7">
        <f>International_Education_Costs!$G517+International_Education_Costs!$I517+International_Education_Costs!$J517+International_Education_Costs!$K517</f>
        <v>1775</v>
      </c>
    </row>
    <row r="518" spans="1:14" x14ac:dyDescent="0.3">
      <c r="A518" s="4" t="s">
        <v>193</v>
      </c>
      <c r="B518" s="4" t="s">
        <v>708</v>
      </c>
      <c r="C518" s="4" t="s">
        <v>709</v>
      </c>
      <c r="D518" s="4" t="s">
        <v>93</v>
      </c>
      <c r="E518" s="4" t="s">
        <v>16</v>
      </c>
      <c r="F518" s="4">
        <v>2</v>
      </c>
      <c r="G518" s="5">
        <v>0</v>
      </c>
      <c r="H518" s="24">
        <v>67.5</v>
      </c>
      <c r="I518" s="16">
        <v>700</v>
      </c>
      <c r="J518" s="5">
        <v>350</v>
      </c>
      <c r="K518" s="5">
        <v>650</v>
      </c>
      <c r="L518" s="5">
        <v>0.92</v>
      </c>
      <c r="M518" s="5">
        <f>(International_Education_Costs!$G518+International_Education_Costs!$I518+International_Education_Costs!$J518+International_Education_Costs!$K518)*International_Education_Costs!$L518</f>
        <v>1564</v>
      </c>
      <c r="N518" s="5">
        <f>International_Education_Costs!$G518+International_Education_Costs!$I518+International_Education_Costs!$J518+International_Education_Costs!$K518</f>
        <v>1700</v>
      </c>
    </row>
    <row r="519" spans="1:14" x14ac:dyDescent="0.3">
      <c r="A519" s="6" t="s">
        <v>29</v>
      </c>
      <c r="B519" s="6" t="s">
        <v>710</v>
      </c>
      <c r="C519" s="6" t="s">
        <v>711</v>
      </c>
      <c r="D519" s="6" t="s">
        <v>137</v>
      </c>
      <c r="E519" s="6" t="s">
        <v>16</v>
      </c>
      <c r="F519" s="6">
        <v>2</v>
      </c>
      <c r="G519" s="7">
        <v>0</v>
      </c>
      <c r="H519" s="25">
        <v>66.5</v>
      </c>
      <c r="I519" s="17">
        <v>900</v>
      </c>
      <c r="J519" s="7">
        <v>110</v>
      </c>
      <c r="K519" s="7">
        <v>900</v>
      </c>
      <c r="L519" s="7">
        <v>0.92</v>
      </c>
      <c r="M519" s="7">
        <f>(International_Education_Costs!$G519+International_Education_Costs!$I519+International_Education_Costs!$J519+International_Education_Costs!$K519)*International_Education_Costs!$L519</f>
        <v>1757.2</v>
      </c>
      <c r="N519" s="7">
        <f>International_Education_Costs!$G519+International_Education_Costs!$I519+International_Education_Costs!$J519+International_Education_Costs!$K519</f>
        <v>1910</v>
      </c>
    </row>
    <row r="520" spans="1:14" x14ac:dyDescent="0.3">
      <c r="A520" s="4" t="s">
        <v>56</v>
      </c>
      <c r="B520" s="4" t="s">
        <v>712</v>
      </c>
      <c r="C520" s="4" t="s">
        <v>678</v>
      </c>
      <c r="D520" s="4" t="s">
        <v>713</v>
      </c>
      <c r="E520" s="4" t="s">
        <v>16</v>
      </c>
      <c r="F520" s="4">
        <v>2</v>
      </c>
      <c r="G520" s="5">
        <v>0</v>
      </c>
      <c r="H520" s="24">
        <v>68.400000000000006</v>
      </c>
      <c r="I520" s="16">
        <v>850</v>
      </c>
      <c r="J520" s="5">
        <v>450</v>
      </c>
      <c r="K520" s="5">
        <v>800</v>
      </c>
      <c r="L520" s="5">
        <v>7.45</v>
      </c>
      <c r="M520" s="5">
        <f>(International_Education_Costs!$G520+International_Education_Costs!$I520+International_Education_Costs!$J520+International_Education_Costs!$K520)*International_Education_Costs!$L520</f>
        <v>15645</v>
      </c>
      <c r="N520" s="5">
        <f>International_Education_Costs!$G520+International_Education_Costs!$I520+International_Education_Costs!$J520+International_Education_Costs!$K520</f>
        <v>2100</v>
      </c>
    </row>
    <row r="521" spans="1:14" x14ac:dyDescent="0.3">
      <c r="A521" s="6" t="s">
        <v>196</v>
      </c>
      <c r="B521" s="6" t="s">
        <v>714</v>
      </c>
      <c r="C521" s="6" t="s">
        <v>715</v>
      </c>
      <c r="D521" s="6" t="s">
        <v>716</v>
      </c>
      <c r="E521" s="6" t="s">
        <v>122</v>
      </c>
      <c r="F521" s="6">
        <v>4</v>
      </c>
      <c r="G521" s="7">
        <v>0</v>
      </c>
      <c r="H521" s="25">
        <v>67.8</v>
      </c>
      <c r="I521" s="17">
        <v>850</v>
      </c>
      <c r="J521" s="7">
        <v>275</v>
      </c>
      <c r="K521" s="7">
        <v>700</v>
      </c>
      <c r="L521" s="7">
        <v>10.45</v>
      </c>
      <c r="M521" s="7">
        <f>(International_Education_Costs!$G521+International_Education_Costs!$I521+International_Education_Costs!$J521+International_Education_Costs!$K521)*International_Education_Costs!$L521</f>
        <v>19071.25</v>
      </c>
      <c r="N521" s="7">
        <f>International_Education_Costs!$G521+International_Education_Costs!$I521+International_Education_Costs!$J521+International_Education_Costs!$K521</f>
        <v>1825</v>
      </c>
    </row>
    <row r="522" spans="1:14" x14ac:dyDescent="0.3">
      <c r="A522" s="4" t="s">
        <v>193</v>
      </c>
      <c r="B522" s="4" t="s">
        <v>717</v>
      </c>
      <c r="C522" s="4" t="s">
        <v>718</v>
      </c>
      <c r="D522" s="4" t="s">
        <v>199</v>
      </c>
      <c r="E522" s="4" t="s">
        <v>75</v>
      </c>
      <c r="F522" s="4">
        <v>3</v>
      </c>
      <c r="G522" s="5">
        <v>0</v>
      </c>
      <c r="H522" s="24">
        <v>66.900000000000006</v>
      </c>
      <c r="I522" s="16">
        <v>700</v>
      </c>
      <c r="J522" s="5">
        <v>350</v>
      </c>
      <c r="K522" s="5">
        <v>650</v>
      </c>
      <c r="L522" s="5">
        <v>0.92</v>
      </c>
      <c r="M522" s="5">
        <f>(International_Education_Costs!$G522+International_Education_Costs!$I522+International_Education_Costs!$J522+International_Education_Costs!$K522)*International_Education_Costs!$L522</f>
        <v>1564</v>
      </c>
      <c r="N522" s="5">
        <f>International_Education_Costs!$G522+International_Education_Costs!$I522+International_Education_Costs!$J522+International_Education_Costs!$K522</f>
        <v>1700</v>
      </c>
    </row>
    <row r="523" spans="1:14" x14ac:dyDescent="0.3">
      <c r="A523" s="6" t="s">
        <v>29</v>
      </c>
      <c r="B523" s="6" t="s">
        <v>253</v>
      </c>
      <c r="C523" s="6" t="s">
        <v>254</v>
      </c>
      <c r="D523" s="6" t="s">
        <v>719</v>
      </c>
      <c r="E523" s="6" t="s">
        <v>16</v>
      </c>
      <c r="F523" s="6">
        <v>2</v>
      </c>
      <c r="G523" s="7">
        <v>0</v>
      </c>
      <c r="H523" s="25">
        <v>68.900000000000006</v>
      </c>
      <c r="I523" s="17">
        <v>1000</v>
      </c>
      <c r="J523" s="7">
        <v>110</v>
      </c>
      <c r="K523" s="7">
        <v>900</v>
      </c>
      <c r="L523" s="7">
        <v>0.92</v>
      </c>
      <c r="M523" s="7">
        <f>(International_Education_Costs!$G523+International_Education_Costs!$I523+International_Education_Costs!$J523+International_Education_Costs!$K523)*International_Education_Costs!$L523</f>
        <v>1849.2</v>
      </c>
      <c r="N523" s="7">
        <f>International_Education_Costs!$G523+International_Education_Costs!$I523+International_Education_Costs!$J523+International_Education_Costs!$K523</f>
        <v>2010</v>
      </c>
    </row>
    <row r="524" spans="1:14" x14ac:dyDescent="0.3">
      <c r="A524" s="4" t="s">
        <v>56</v>
      </c>
      <c r="B524" s="4" t="s">
        <v>720</v>
      </c>
      <c r="C524" s="4" t="s">
        <v>58</v>
      </c>
      <c r="D524" s="4" t="s">
        <v>59</v>
      </c>
      <c r="E524" s="4" t="s">
        <v>16</v>
      </c>
      <c r="F524" s="4">
        <v>2</v>
      </c>
      <c r="G524" s="5">
        <v>0</v>
      </c>
      <c r="H524" s="24">
        <v>67.5</v>
      </c>
      <c r="I524" s="16">
        <v>900</v>
      </c>
      <c r="J524" s="5">
        <v>450</v>
      </c>
      <c r="K524" s="5">
        <v>800</v>
      </c>
      <c r="L524" s="5">
        <v>7.45</v>
      </c>
      <c r="M524" s="5">
        <f>(International_Education_Costs!$G524+International_Education_Costs!$I524+International_Education_Costs!$J524+International_Education_Costs!$K524)*International_Education_Costs!$L524</f>
        <v>16017.5</v>
      </c>
      <c r="N524" s="5">
        <f>International_Education_Costs!$G524+International_Education_Costs!$I524+International_Education_Costs!$J524+International_Education_Costs!$K524</f>
        <v>2150</v>
      </c>
    </row>
    <row r="525" spans="1:14" x14ac:dyDescent="0.3">
      <c r="A525" s="6" t="s">
        <v>196</v>
      </c>
      <c r="B525" s="6" t="s">
        <v>721</v>
      </c>
      <c r="C525" s="6" t="s">
        <v>722</v>
      </c>
      <c r="D525" s="6" t="s">
        <v>723</v>
      </c>
      <c r="E525" s="6" t="s">
        <v>16</v>
      </c>
      <c r="F525" s="6">
        <v>2</v>
      </c>
      <c r="G525" s="7">
        <v>0</v>
      </c>
      <c r="H525" s="25">
        <v>66.7</v>
      </c>
      <c r="I525" s="17">
        <v>800</v>
      </c>
      <c r="J525" s="7">
        <v>275</v>
      </c>
      <c r="K525" s="7">
        <v>700</v>
      </c>
      <c r="L525" s="7">
        <v>10.45</v>
      </c>
      <c r="M525" s="7">
        <f>(International_Education_Costs!$G525+International_Education_Costs!$I525+International_Education_Costs!$J525+International_Education_Costs!$K525)*International_Education_Costs!$L525</f>
        <v>18548.75</v>
      </c>
      <c r="N525" s="7">
        <f>International_Education_Costs!$G525+International_Education_Costs!$I525+International_Education_Costs!$J525+International_Education_Costs!$K525</f>
        <v>1775</v>
      </c>
    </row>
    <row r="526" spans="1:14" x14ac:dyDescent="0.3">
      <c r="A526" s="4" t="s">
        <v>193</v>
      </c>
      <c r="B526" s="4" t="s">
        <v>724</v>
      </c>
      <c r="C526" s="4" t="s">
        <v>718</v>
      </c>
      <c r="D526" s="4" t="s">
        <v>725</v>
      </c>
      <c r="E526" s="4" t="s">
        <v>122</v>
      </c>
      <c r="F526" s="4">
        <v>4</v>
      </c>
      <c r="G526" s="5">
        <v>0</v>
      </c>
      <c r="H526" s="24">
        <v>65.8</v>
      </c>
      <c r="I526" s="16">
        <v>650</v>
      </c>
      <c r="J526" s="5">
        <v>350</v>
      </c>
      <c r="K526" s="5">
        <v>650</v>
      </c>
      <c r="L526" s="5">
        <v>0.92</v>
      </c>
      <c r="M526" s="5">
        <f>(International_Education_Costs!$G526+International_Education_Costs!$I526+International_Education_Costs!$J526+International_Education_Costs!$K526)*International_Education_Costs!$L526</f>
        <v>1518</v>
      </c>
      <c r="N526" s="5">
        <f>International_Education_Costs!$G526+International_Education_Costs!$I526+International_Education_Costs!$J526+International_Education_Costs!$K526</f>
        <v>1650</v>
      </c>
    </row>
    <row r="527" spans="1:14" x14ac:dyDescent="0.3">
      <c r="A527" s="6" t="s">
        <v>29</v>
      </c>
      <c r="B527" s="6" t="s">
        <v>262</v>
      </c>
      <c r="C527" s="6" t="s">
        <v>263</v>
      </c>
      <c r="D527" s="6" t="s">
        <v>726</v>
      </c>
      <c r="E527" s="6" t="s">
        <v>16</v>
      </c>
      <c r="F527" s="6">
        <v>2</v>
      </c>
      <c r="G527" s="7">
        <v>0</v>
      </c>
      <c r="H527" s="25">
        <v>65.400000000000006</v>
      </c>
      <c r="I527" s="17">
        <v>850</v>
      </c>
      <c r="J527" s="7">
        <v>110</v>
      </c>
      <c r="K527" s="7">
        <v>900</v>
      </c>
      <c r="L527" s="7">
        <v>0.92</v>
      </c>
      <c r="M527" s="7">
        <f>(International_Education_Costs!$G527+International_Education_Costs!$I527+International_Education_Costs!$J527+International_Education_Costs!$K527)*International_Education_Costs!$L527</f>
        <v>1711.2</v>
      </c>
      <c r="N527" s="7">
        <f>International_Education_Costs!$G527+International_Education_Costs!$I527+International_Education_Costs!$J527+International_Education_Costs!$K527</f>
        <v>1860</v>
      </c>
    </row>
    <row r="528" spans="1:14" x14ac:dyDescent="0.3">
      <c r="A528" s="4" t="s">
        <v>56</v>
      </c>
      <c r="B528" s="4" t="s">
        <v>727</v>
      </c>
      <c r="C528" s="4" t="s">
        <v>461</v>
      </c>
      <c r="D528" s="4" t="s">
        <v>728</v>
      </c>
      <c r="E528" s="4" t="s">
        <v>16</v>
      </c>
      <c r="F528" s="4">
        <v>2</v>
      </c>
      <c r="G528" s="5">
        <v>0</v>
      </c>
      <c r="H528" s="24">
        <v>66.2</v>
      </c>
      <c r="I528" s="16">
        <v>800</v>
      </c>
      <c r="J528" s="5">
        <v>450</v>
      </c>
      <c r="K528" s="5">
        <v>800</v>
      </c>
      <c r="L528" s="5">
        <v>7.45</v>
      </c>
      <c r="M528" s="5">
        <f>(International_Education_Costs!$G528+International_Education_Costs!$I528+International_Education_Costs!$J528+International_Education_Costs!$K528)*International_Education_Costs!$L528</f>
        <v>15272.5</v>
      </c>
      <c r="N528" s="5">
        <f>International_Education_Costs!$G528+International_Education_Costs!$I528+International_Education_Costs!$J528+International_Education_Costs!$K528</f>
        <v>2050</v>
      </c>
    </row>
    <row r="529" spans="1:14" x14ac:dyDescent="0.3">
      <c r="A529" s="6" t="s">
        <v>76</v>
      </c>
      <c r="B529" s="6" t="s">
        <v>77</v>
      </c>
      <c r="C529" s="6" t="s">
        <v>78</v>
      </c>
      <c r="D529" s="6" t="s">
        <v>15</v>
      </c>
      <c r="E529" s="6" t="s">
        <v>16</v>
      </c>
      <c r="F529" s="6">
        <v>2</v>
      </c>
      <c r="G529" s="7">
        <v>32000</v>
      </c>
      <c r="H529" s="25">
        <v>79.5</v>
      </c>
      <c r="I529" s="17">
        <v>1200</v>
      </c>
      <c r="J529" s="7">
        <v>330</v>
      </c>
      <c r="K529" s="7">
        <v>600</v>
      </c>
      <c r="L529" s="7">
        <v>1.65</v>
      </c>
      <c r="M529" s="7">
        <f>(International_Education_Costs!$G529+International_Education_Costs!$I529+International_Education_Costs!$J529+International_Education_Costs!$K529)*International_Education_Costs!$L529</f>
        <v>56314.5</v>
      </c>
      <c r="N529" s="7">
        <f>International_Education_Costs!$G529+International_Education_Costs!$I529+International_Education_Costs!$J529+International_Education_Costs!$K529</f>
        <v>34130</v>
      </c>
    </row>
    <row r="530" spans="1:14" x14ac:dyDescent="0.3">
      <c r="A530" s="4" t="s">
        <v>12</v>
      </c>
      <c r="B530" s="4" t="s">
        <v>123</v>
      </c>
      <c r="C530" s="4" t="s">
        <v>645</v>
      </c>
      <c r="D530" s="4" t="s">
        <v>20</v>
      </c>
      <c r="E530" s="4" t="s">
        <v>16</v>
      </c>
      <c r="F530" s="4">
        <v>2</v>
      </c>
      <c r="G530" s="5">
        <v>54000</v>
      </c>
      <c r="H530" s="24">
        <v>82.1</v>
      </c>
      <c r="I530" s="16">
        <v>2000</v>
      </c>
      <c r="J530" s="5">
        <v>160</v>
      </c>
      <c r="K530" s="5">
        <v>1500</v>
      </c>
      <c r="L530" s="5">
        <v>1</v>
      </c>
      <c r="M530" s="5">
        <f>(International_Education_Costs!$G530+International_Education_Costs!$I530+International_Education_Costs!$J530+International_Education_Costs!$K530)*International_Education_Costs!$L530</f>
        <v>57660</v>
      </c>
      <c r="N530" s="5">
        <f>International_Education_Costs!$G530+International_Education_Costs!$I530+International_Education_Costs!$J530+International_Education_Costs!$K530</f>
        <v>57660</v>
      </c>
    </row>
    <row r="531" spans="1:14" x14ac:dyDescent="0.3">
      <c r="A531" s="6" t="s">
        <v>52</v>
      </c>
      <c r="B531" s="6" t="s">
        <v>53</v>
      </c>
      <c r="C531" s="6" t="s">
        <v>54</v>
      </c>
      <c r="D531" s="6" t="s">
        <v>729</v>
      </c>
      <c r="E531" s="6" t="s">
        <v>16</v>
      </c>
      <c r="F531" s="6">
        <v>2</v>
      </c>
      <c r="G531" s="7">
        <v>0</v>
      </c>
      <c r="H531" s="25">
        <v>78.400000000000006</v>
      </c>
      <c r="I531" s="17">
        <v>1100</v>
      </c>
      <c r="J531" s="7">
        <v>120</v>
      </c>
      <c r="K531" s="7">
        <v>750</v>
      </c>
      <c r="L531" s="7">
        <v>10.45</v>
      </c>
      <c r="M531" s="7">
        <f>(International_Education_Costs!$G531+International_Education_Costs!$I531+International_Education_Costs!$J531+International_Education_Costs!$K531)*International_Education_Costs!$L531</f>
        <v>20586.5</v>
      </c>
      <c r="N531" s="7">
        <f>International_Education_Costs!$G531+International_Education_Costs!$I531+International_Education_Costs!$J531+International_Education_Costs!$K531</f>
        <v>1970</v>
      </c>
    </row>
    <row r="532" spans="1:14" x14ac:dyDescent="0.3">
      <c r="A532" s="4" t="s">
        <v>37</v>
      </c>
      <c r="B532" s="4" t="s">
        <v>38</v>
      </c>
      <c r="C532" s="4" t="s">
        <v>39</v>
      </c>
      <c r="D532" s="4" t="s">
        <v>40</v>
      </c>
      <c r="E532" s="4" t="s">
        <v>122</v>
      </c>
      <c r="F532" s="4">
        <v>4</v>
      </c>
      <c r="G532" s="5">
        <v>15000</v>
      </c>
      <c r="H532" s="24">
        <v>81.2</v>
      </c>
      <c r="I532" s="16">
        <v>1300</v>
      </c>
      <c r="J532" s="5">
        <v>171</v>
      </c>
      <c r="K532" s="5">
        <v>720</v>
      </c>
      <c r="L532" s="5">
        <v>0.92</v>
      </c>
      <c r="M532" s="5">
        <f>(International_Education_Costs!$G532+International_Education_Costs!$I532+International_Education_Costs!$J532+International_Education_Costs!$K532)*International_Education_Costs!$L532</f>
        <v>15815.720000000001</v>
      </c>
      <c r="N532" s="5">
        <f>International_Education_Costs!$G532+International_Education_Costs!$I532+International_Education_Costs!$J532+International_Education_Costs!$K532</f>
        <v>17191</v>
      </c>
    </row>
    <row r="533" spans="1:14" x14ac:dyDescent="0.3">
      <c r="A533" s="6" t="s">
        <v>105</v>
      </c>
      <c r="B533" s="6" t="s">
        <v>106</v>
      </c>
      <c r="C533" s="6" t="s">
        <v>107</v>
      </c>
      <c r="D533" s="6" t="s">
        <v>63</v>
      </c>
      <c r="E533" s="6" t="s">
        <v>16</v>
      </c>
      <c r="F533" s="6">
        <v>2</v>
      </c>
      <c r="G533" s="7">
        <v>7000</v>
      </c>
      <c r="H533" s="25">
        <v>65.8</v>
      </c>
      <c r="I533" s="17">
        <v>800</v>
      </c>
      <c r="J533" s="7">
        <v>75</v>
      </c>
      <c r="K533" s="7">
        <v>400</v>
      </c>
      <c r="L533" s="7">
        <v>0.92</v>
      </c>
      <c r="M533" s="7">
        <f>(International_Education_Costs!$G533+International_Education_Costs!$I533+International_Education_Costs!$J533+International_Education_Costs!$K533)*International_Education_Costs!$L533</f>
        <v>7613</v>
      </c>
      <c r="N533" s="7">
        <f>International_Education_Costs!$G533+International_Education_Costs!$I533+International_Education_Costs!$J533+International_Education_Costs!$K533</f>
        <v>8275</v>
      </c>
    </row>
    <row r="534" spans="1:14" x14ac:dyDescent="0.3">
      <c r="A534" s="4" t="s">
        <v>76</v>
      </c>
      <c r="B534" s="4" t="s">
        <v>730</v>
      </c>
      <c r="C534" s="4" t="s">
        <v>731</v>
      </c>
      <c r="D534" s="4" t="s">
        <v>71</v>
      </c>
      <c r="E534" s="4" t="s">
        <v>16</v>
      </c>
      <c r="F534" s="4">
        <v>2</v>
      </c>
      <c r="G534" s="5">
        <v>30000</v>
      </c>
      <c r="H534" s="24">
        <v>75.599999999999994</v>
      </c>
      <c r="I534" s="16">
        <v>1100</v>
      </c>
      <c r="J534" s="5">
        <v>330</v>
      </c>
      <c r="K534" s="5">
        <v>600</v>
      </c>
      <c r="L534" s="5">
        <v>1.65</v>
      </c>
      <c r="M534" s="5">
        <f>(International_Education_Costs!$G534+International_Education_Costs!$I534+International_Education_Costs!$J534+International_Education_Costs!$K534)*International_Education_Costs!$L534</f>
        <v>52849.5</v>
      </c>
      <c r="N534" s="5">
        <f>International_Education_Costs!$G534+International_Education_Costs!$I534+International_Education_Costs!$J534+International_Education_Costs!$K534</f>
        <v>32030</v>
      </c>
    </row>
    <row r="535" spans="1:14" x14ac:dyDescent="0.3">
      <c r="A535" s="6" t="s">
        <v>12</v>
      </c>
      <c r="B535" s="6" t="s">
        <v>94</v>
      </c>
      <c r="C535" s="6" t="s">
        <v>95</v>
      </c>
      <c r="D535" s="6" t="s">
        <v>137</v>
      </c>
      <c r="E535" s="6" t="s">
        <v>122</v>
      </c>
      <c r="F535" s="6">
        <v>5</v>
      </c>
      <c r="G535" s="7">
        <v>48000</v>
      </c>
      <c r="H535" s="25">
        <v>68.900000000000006</v>
      </c>
      <c r="I535" s="17">
        <v>1600</v>
      </c>
      <c r="J535" s="7">
        <v>160</v>
      </c>
      <c r="K535" s="7">
        <v>1500</v>
      </c>
      <c r="L535" s="7">
        <v>1</v>
      </c>
      <c r="M535" s="7">
        <f>(International_Education_Costs!$G535+International_Education_Costs!$I535+International_Education_Costs!$J535+International_Education_Costs!$K535)*International_Education_Costs!$L535</f>
        <v>51260</v>
      </c>
      <c r="N535" s="7">
        <f>International_Education_Costs!$G535+International_Education_Costs!$I535+International_Education_Costs!$J535+International_Education_Costs!$K535</f>
        <v>51260</v>
      </c>
    </row>
    <row r="536" spans="1:14" x14ac:dyDescent="0.3">
      <c r="A536" s="4" t="s">
        <v>52</v>
      </c>
      <c r="B536" s="4" t="s">
        <v>732</v>
      </c>
      <c r="C536" s="4" t="s">
        <v>733</v>
      </c>
      <c r="D536" s="4" t="s">
        <v>99</v>
      </c>
      <c r="E536" s="4" t="s">
        <v>75</v>
      </c>
      <c r="F536" s="4">
        <v>3</v>
      </c>
      <c r="G536" s="5">
        <v>0</v>
      </c>
      <c r="H536" s="24">
        <v>72.3</v>
      </c>
      <c r="I536" s="16">
        <v>900</v>
      </c>
      <c r="J536" s="5">
        <v>120</v>
      </c>
      <c r="K536" s="5">
        <v>750</v>
      </c>
      <c r="L536" s="5">
        <v>10.45</v>
      </c>
      <c r="M536" s="5">
        <f>(International_Education_Costs!$G536+International_Education_Costs!$I536+International_Education_Costs!$J536+International_Education_Costs!$K536)*International_Education_Costs!$L536</f>
        <v>18496.5</v>
      </c>
      <c r="N536" s="5">
        <f>International_Education_Costs!$G536+International_Education_Costs!$I536+International_Education_Costs!$J536+International_Education_Costs!$K536</f>
        <v>1770</v>
      </c>
    </row>
    <row r="537" spans="1:14" x14ac:dyDescent="0.3">
      <c r="A537" s="6" t="s">
        <v>37</v>
      </c>
      <c r="B537" s="6" t="s">
        <v>191</v>
      </c>
      <c r="C537" s="6" t="s">
        <v>192</v>
      </c>
      <c r="D537" s="6" t="s">
        <v>24</v>
      </c>
      <c r="E537" s="6" t="s">
        <v>16</v>
      </c>
      <c r="F537" s="6">
        <v>2</v>
      </c>
      <c r="G537" s="7">
        <v>14500</v>
      </c>
      <c r="H537" s="25">
        <v>77.8</v>
      </c>
      <c r="I537" s="17">
        <v>1200</v>
      </c>
      <c r="J537" s="7">
        <v>171</v>
      </c>
      <c r="K537" s="7">
        <v>720</v>
      </c>
      <c r="L537" s="7">
        <v>0.92</v>
      </c>
      <c r="M537" s="7">
        <f>(International_Education_Costs!$G537+International_Education_Costs!$I537+International_Education_Costs!$J537+International_Education_Costs!$K537)*International_Education_Costs!$L537</f>
        <v>15263.720000000001</v>
      </c>
      <c r="N537" s="7">
        <f>International_Education_Costs!$G537+International_Education_Costs!$I537+International_Education_Costs!$J537+International_Education_Costs!$K537</f>
        <v>16591</v>
      </c>
    </row>
    <row r="538" spans="1:14" x14ac:dyDescent="0.3">
      <c r="A538" s="4" t="s">
        <v>105</v>
      </c>
      <c r="B538" s="4" t="s">
        <v>734</v>
      </c>
      <c r="C538" s="4" t="s">
        <v>735</v>
      </c>
      <c r="D538" s="4" t="s">
        <v>208</v>
      </c>
      <c r="E538" s="4" t="s">
        <v>16</v>
      </c>
      <c r="F538" s="4">
        <v>2</v>
      </c>
      <c r="G538" s="5">
        <v>6500</v>
      </c>
      <c r="H538" s="24">
        <v>62.4</v>
      </c>
      <c r="I538" s="16">
        <v>700</v>
      </c>
      <c r="J538" s="5">
        <v>75</v>
      </c>
      <c r="K538" s="5">
        <v>400</v>
      </c>
      <c r="L538" s="5">
        <v>0.92</v>
      </c>
      <c r="M538" s="5">
        <f>(International_Education_Costs!$G538+International_Education_Costs!$I538+International_Education_Costs!$J538+International_Education_Costs!$K538)*International_Education_Costs!$L538</f>
        <v>7061</v>
      </c>
      <c r="N538" s="5">
        <f>International_Education_Costs!$G538+International_Education_Costs!$I538+International_Education_Costs!$J538+International_Education_Costs!$K538</f>
        <v>7675</v>
      </c>
    </row>
    <row r="539" spans="1:14" x14ac:dyDescent="0.3">
      <c r="A539" s="6" t="s">
        <v>76</v>
      </c>
      <c r="B539" s="6" t="s">
        <v>736</v>
      </c>
      <c r="C539" s="6" t="s">
        <v>737</v>
      </c>
      <c r="D539" s="6" t="s">
        <v>32</v>
      </c>
      <c r="E539" s="6" t="s">
        <v>122</v>
      </c>
      <c r="F539" s="6">
        <v>4</v>
      </c>
      <c r="G539" s="7">
        <v>31000</v>
      </c>
      <c r="H539" s="25">
        <v>72.400000000000006</v>
      </c>
      <c r="I539" s="17">
        <v>950</v>
      </c>
      <c r="J539" s="7">
        <v>330</v>
      </c>
      <c r="K539" s="7">
        <v>600</v>
      </c>
      <c r="L539" s="7">
        <v>1.65</v>
      </c>
      <c r="M539" s="7">
        <f>(International_Education_Costs!$G539+International_Education_Costs!$I539+International_Education_Costs!$J539+International_Education_Costs!$K539)*International_Education_Costs!$L539</f>
        <v>54252</v>
      </c>
      <c r="N539" s="7">
        <f>International_Education_Costs!$G539+International_Education_Costs!$I539+International_Education_Costs!$J539+International_Education_Costs!$K539</f>
        <v>32880</v>
      </c>
    </row>
    <row r="540" spans="1:14" x14ac:dyDescent="0.3">
      <c r="A540" s="4" t="s">
        <v>12</v>
      </c>
      <c r="B540" s="4" t="s">
        <v>148</v>
      </c>
      <c r="C540" s="4" t="s">
        <v>149</v>
      </c>
      <c r="D540" s="4" t="s">
        <v>631</v>
      </c>
      <c r="E540" s="4" t="s">
        <v>16</v>
      </c>
      <c r="F540" s="4">
        <v>2</v>
      </c>
      <c r="G540" s="5">
        <v>49000</v>
      </c>
      <c r="H540" s="24">
        <v>75.599999999999994</v>
      </c>
      <c r="I540" s="16">
        <v>1900</v>
      </c>
      <c r="J540" s="5">
        <v>160</v>
      </c>
      <c r="K540" s="5">
        <v>1500</v>
      </c>
      <c r="L540" s="5">
        <v>1</v>
      </c>
      <c r="M540" s="5">
        <f>(International_Education_Costs!$G540+International_Education_Costs!$I540+International_Education_Costs!$J540+International_Education_Costs!$K540)*International_Education_Costs!$L540</f>
        <v>52560</v>
      </c>
      <c r="N540" s="5">
        <f>International_Education_Costs!$G540+International_Education_Costs!$I540+International_Education_Costs!$J540+International_Education_Costs!$K540</f>
        <v>52560</v>
      </c>
    </row>
    <row r="541" spans="1:14" x14ac:dyDescent="0.3">
      <c r="A541" s="6" t="s">
        <v>52</v>
      </c>
      <c r="B541" s="6" t="s">
        <v>738</v>
      </c>
      <c r="C541" s="6" t="s">
        <v>739</v>
      </c>
      <c r="D541" s="6" t="s">
        <v>740</v>
      </c>
      <c r="E541" s="6" t="s">
        <v>16</v>
      </c>
      <c r="F541" s="6">
        <v>2</v>
      </c>
      <c r="G541" s="7">
        <v>0</v>
      </c>
      <c r="H541" s="25">
        <v>71.2</v>
      </c>
      <c r="I541" s="17">
        <v>950</v>
      </c>
      <c r="J541" s="7">
        <v>120</v>
      </c>
      <c r="K541" s="7">
        <v>750</v>
      </c>
      <c r="L541" s="7">
        <v>10.45</v>
      </c>
      <c r="M541" s="7">
        <f>(International_Education_Costs!$G541+International_Education_Costs!$I541+International_Education_Costs!$J541+International_Education_Costs!$K541)*International_Education_Costs!$L541</f>
        <v>19019</v>
      </c>
      <c r="N541" s="7">
        <f>International_Education_Costs!$G541+International_Education_Costs!$I541+International_Education_Costs!$J541+International_Education_Costs!$K541</f>
        <v>1820</v>
      </c>
    </row>
    <row r="542" spans="1:14" x14ac:dyDescent="0.3">
      <c r="A542" s="4" t="s">
        <v>37</v>
      </c>
      <c r="B542" s="4" t="s">
        <v>135</v>
      </c>
      <c r="C542" s="4" t="s">
        <v>136</v>
      </c>
      <c r="D542" s="4" t="s">
        <v>15</v>
      </c>
      <c r="E542" s="4" t="s">
        <v>16</v>
      </c>
      <c r="F542" s="4">
        <v>2</v>
      </c>
      <c r="G542" s="5">
        <v>15500</v>
      </c>
      <c r="H542" s="24">
        <v>76.5</v>
      </c>
      <c r="I542" s="16">
        <v>1100</v>
      </c>
      <c r="J542" s="5">
        <v>171</v>
      </c>
      <c r="K542" s="5">
        <v>720</v>
      </c>
      <c r="L542" s="5">
        <v>0.92</v>
      </c>
      <c r="M542" s="5">
        <f>(International_Education_Costs!$G542+International_Education_Costs!$I542+International_Education_Costs!$J542+International_Education_Costs!$K542)*International_Education_Costs!$L542</f>
        <v>16091.720000000001</v>
      </c>
      <c r="N542" s="5">
        <f>International_Education_Costs!$G542+International_Education_Costs!$I542+International_Education_Costs!$J542+International_Education_Costs!$K542</f>
        <v>17491</v>
      </c>
    </row>
    <row r="543" spans="1:14" x14ac:dyDescent="0.3">
      <c r="A543" s="6" t="s">
        <v>105</v>
      </c>
      <c r="B543" s="6" t="s">
        <v>741</v>
      </c>
      <c r="C543" s="6" t="s">
        <v>742</v>
      </c>
      <c r="D543" s="6" t="s">
        <v>20</v>
      </c>
      <c r="E543" s="6" t="s">
        <v>75</v>
      </c>
      <c r="F543" s="6">
        <v>3</v>
      </c>
      <c r="G543" s="7">
        <v>6000</v>
      </c>
      <c r="H543" s="25">
        <v>58.9</v>
      </c>
      <c r="I543" s="17">
        <v>600</v>
      </c>
      <c r="J543" s="7">
        <v>75</v>
      </c>
      <c r="K543" s="7">
        <v>400</v>
      </c>
      <c r="L543" s="7">
        <v>0.92</v>
      </c>
      <c r="M543" s="7">
        <f>(International_Education_Costs!$G543+International_Education_Costs!$I543+International_Education_Costs!$J543+International_Education_Costs!$K543)*International_Education_Costs!$L543</f>
        <v>6509</v>
      </c>
      <c r="N543" s="7">
        <f>International_Education_Costs!$G543+International_Education_Costs!$I543+International_Education_Costs!$J543+International_Education_Costs!$K543</f>
        <v>7075</v>
      </c>
    </row>
    <row r="544" spans="1:14" x14ac:dyDescent="0.3">
      <c r="A544" s="4" t="s">
        <v>76</v>
      </c>
      <c r="B544" s="4" t="s">
        <v>743</v>
      </c>
      <c r="C544" s="4" t="s">
        <v>744</v>
      </c>
      <c r="D544" s="4" t="s">
        <v>216</v>
      </c>
      <c r="E544" s="4" t="s">
        <v>16</v>
      </c>
      <c r="F544" s="4">
        <v>2</v>
      </c>
      <c r="G544" s="5">
        <v>29000</v>
      </c>
      <c r="H544" s="24">
        <v>70.2</v>
      </c>
      <c r="I544" s="16">
        <v>900</v>
      </c>
      <c r="J544" s="5">
        <v>330</v>
      </c>
      <c r="K544" s="5">
        <v>600</v>
      </c>
      <c r="L544" s="5">
        <v>1.65</v>
      </c>
      <c r="M544" s="5">
        <f>(International_Education_Costs!$G544+International_Education_Costs!$I544+International_Education_Costs!$J544+International_Education_Costs!$K544)*International_Education_Costs!$L544</f>
        <v>50869.5</v>
      </c>
      <c r="N544" s="5">
        <f>International_Education_Costs!$G544+International_Education_Costs!$I544+International_Education_Costs!$J544+International_Education_Costs!$K544</f>
        <v>30830</v>
      </c>
    </row>
    <row r="545" spans="1:14" x14ac:dyDescent="0.3">
      <c r="A545" s="6" t="s">
        <v>12</v>
      </c>
      <c r="B545" s="6" t="s">
        <v>150</v>
      </c>
      <c r="C545" s="6" t="s">
        <v>151</v>
      </c>
      <c r="D545" s="6" t="s">
        <v>63</v>
      </c>
      <c r="E545" s="6" t="s">
        <v>16</v>
      </c>
      <c r="F545" s="6">
        <v>2</v>
      </c>
      <c r="G545" s="7">
        <v>51000</v>
      </c>
      <c r="H545" s="25">
        <v>77.8</v>
      </c>
      <c r="I545" s="17">
        <v>2100</v>
      </c>
      <c r="J545" s="7">
        <v>160</v>
      </c>
      <c r="K545" s="7">
        <v>1500</v>
      </c>
      <c r="L545" s="7">
        <v>1</v>
      </c>
      <c r="M545" s="7">
        <f>(International_Education_Costs!$G545+International_Education_Costs!$I545+International_Education_Costs!$J545+International_Education_Costs!$K545)*International_Education_Costs!$L545</f>
        <v>54760</v>
      </c>
      <c r="N545" s="7">
        <f>International_Education_Costs!$G545+International_Education_Costs!$I545+International_Education_Costs!$J545+International_Education_Costs!$K545</f>
        <v>54760</v>
      </c>
    </row>
    <row r="546" spans="1:14" x14ac:dyDescent="0.3">
      <c r="A546" s="4" t="s">
        <v>52</v>
      </c>
      <c r="B546" s="4" t="s">
        <v>145</v>
      </c>
      <c r="C546" s="4" t="s">
        <v>146</v>
      </c>
      <c r="D546" s="4" t="s">
        <v>51</v>
      </c>
      <c r="E546" s="4" t="s">
        <v>122</v>
      </c>
      <c r="F546" s="4">
        <v>4</v>
      </c>
      <c r="G546" s="5">
        <v>0</v>
      </c>
      <c r="H546" s="24">
        <v>73.400000000000006</v>
      </c>
      <c r="I546" s="16">
        <v>1000</v>
      </c>
      <c r="J546" s="5">
        <v>120</v>
      </c>
      <c r="K546" s="5">
        <v>750</v>
      </c>
      <c r="L546" s="5">
        <v>10.45</v>
      </c>
      <c r="M546" s="5">
        <f>(International_Education_Costs!$G546+International_Education_Costs!$I546+International_Education_Costs!$J546+International_Education_Costs!$K546)*International_Education_Costs!$L546</f>
        <v>19541.5</v>
      </c>
      <c r="N546" s="5">
        <f>International_Education_Costs!$G546+International_Education_Costs!$I546+International_Education_Costs!$J546+International_Education_Costs!$K546</f>
        <v>1870</v>
      </c>
    </row>
    <row r="547" spans="1:14" x14ac:dyDescent="0.3">
      <c r="A547" s="6" t="s">
        <v>37</v>
      </c>
      <c r="B547" s="6" t="s">
        <v>385</v>
      </c>
      <c r="C547" s="6" t="s">
        <v>386</v>
      </c>
      <c r="D547" s="6" t="s">
        <v>40</v>
      </c>
      <c r="E547" s="6" t="s">
        <v>16</v>
      </c>
      <c r="F547" s="6">
        <v>2</v>
      </c>
      <c r="G547" s="7">
        <v>14800</v>
      </c>
      <c r="H547" s="25">
        <v>72.3</v>
      </c>
      <c r="I547" s="17">
        <v>950</v>
      </c>
      <c r="J547" s="7">
        <v>171</v>
      </c>
      <c r="K547" s="7">
        <v>720</v>
      </c>
      <c r="L547" s="7">
        <v>0.92</v>
      </c>
      <c r="M547" s="7">
        <f>(International_Education_Costs!$G547+International_Education_Costs!$I547+International_Education_Costs!$J547+International_Education_Costs!$K547)*International_Education_Costs!$L547</f>
        <v>15309.720000000001</v>
      </c>
      <c r="N547" s="7">
        <f>International_Education_Costs!$G547+International_Education_Costs!$I547+International_Education_Costs!$J547+International_Education_Costs!$K547</f>
        <v>16641</v>
      </c>
    </row>
    <row r="548" spans="1:14" x14ac:dyDescent="0.3">
      <c r="A548" s="4" t="s">
        <v>105</v>
      </c>
      <c r="B548" s="4" t="s">
        <v>745</v>
      </c>
      <c r="C548" s="4" t="s">
        <v>746</v>
      </c>
      <c r="D548" s="4" t="s">
        <v>15</v>
      </c>
      <c r="E548" s="4" t="s">
        <v>16</v>
      </c>
      <c r="F548" s="4">
        <v>2</v>
      </c>
      <c r="G548" s="5">
        <v>6200</v>
      </c>
      <c r="H548" s="24">
        <v>57.8</v>
      </c>
      <c r="I548" s="16">
        <v>550</v>
      </c>
      <c r="J548" s="5">
        <v>75</v>
      </c>
      <c r="K548" s="5">
        <v>400</v>
      </c>
      <c r="L548" s="5">
        <v>0.92</v>
      </c>
      <c r="M548" s="5">
        <f>(International_Education_Costs!$G548+International_Education_Costs!$I548+International_Education_Costs!$J548+International_Education_Costs!$K548)*International_Education_Costs!$L548</f>
        <v>6647</v>
      </c>
      <c r="N548" s="5">
        <f>International_Education_Costs!$G548+International_Education_Costs!$I548+International_Education_Costs!$J548+International_Education_Costs!$K548</f>
        <v>7225</v>
      </c>
    </row>
    <row r="549" spans="1:14" x14ac:dyDescent="0.3">
      <c r="A549" s="6" t="s">
        <v>76</v>
      </c>
      <c r="B549" s="6" t="s">
        <v>310</v>
      </c>
      <c r="C549" s="6" t="s">
        <v>747</v>
      </c>
      <c r="D549" s="6" t="s">
        <v>199</v>
      </c>
      <c r="E549" s="6" t="s">
        <v>16</v>
      </c>
      <c r="F549" s="6">
        <v>2</v>
      </c>
      <c r="G549" s="7">
        <v>28500</v>
      </c>
      <c r="H549" s="25">
        <v>68.900000000000006</v>
      </c>
      <c r="I549" s="17">
        <v>850</v>
      </c>
      <c r="J549" s="7">
        <v>330</v>
      </c>
      <c r="K549" s="7">
        <v>600</v>
      </c>
      <c r="L549" s="7">
        <v>1.65</v>
      </c>
      <c r="M549" s="7">
        <f>(International_Education_Costs!$G549+International_Education_Costs!$I549+International_Education_Costs!$J549+International_Education_Costs!$K549)*International_Education_Costs!$L549</f>
        <v>49962</v>
      </c>
      <c r="N549" s="7">
        <f>International_Education_Costs!$G549+International_Education_Costs!$I549+International_Education_Costs!$J549+International_Education_Costs!$K549</f>
        <v>30280</v>
      </c>
    </row>
    <row r="550" spans="1:14" x14ac:dyDescent="0.3">
      <c r="A550" s="4" t="s">
        <v>12</v>
      </c>
      <c r="B550" s="4" t="s">
        <v>91</v>
      </c>
      <c r="C550" s="4" t="s">
        <v>92</v>
      </c>
      <c r="D550" s="4" t="s">
        <v>748</v>
      </c>
      <c r="E550" s="4" t="s">
        <v>122</v>
      </c>
      <c r="F550" s="4">
        <v>5</v>
      </c>
      <c r="G550" s="5">
        <v>48000</v>
      </c>
      <c r="H550" s="24">
        <v>71.2</v>
      </c>
      <c r="I550" s="16">
        <v>1700</v>
      </c>
      <c r="J550" s="5">
        <v>160</v>
      </c>
      <c r="K550" s="5">
        <v>1500</v>
      </c>
      <c r="L550" s="5">
        <v>1</v>
      </c>
      <c r="M550" s="5">
        <f>(International_Education_Costs!$G550+International_Education_Costs!$I550+International_Education_Costs!$J550+International_Education_Costs!$K550)*International_Education_Costs!$L550</f>
        <v>51360</v>
      </c>
      <c r="N550" s="5">
        <f>International_Education_Costs!$G550+International_Education_Costs!$I550+International_Education_Costs!$J550+International_Education_Costs!$K550</f>
        <v>51360</v>
      </c>
    </row>
    <row r="551" spans="1:14" x14ac:dyDescent="0.3">
      <c r="A551" s="6" t="s">
        <v>52</v>
      </c>
      <c r="B551" s="6" t="s">
        <v>749</v>
      </c>
      <c r="C551" s="6" t="s">
        <v>750</v>
      </c>
      <c r="D551" s="6" t="s">
        <v>15</v>
      </c>
      <c r="E551" s="6" t="s">
        <v>16</v>
      </c>
      <c r="F551" s="6">
        <v>2</v>
      </c>
      <c r="G551" s="7">
        <v>0</v>
      </c>
      <c r="H551" s="25">
        <v>69.8</v>
      </c>
      <c r="I551" s="17">
        <v>850</v>
      </c>
      <c r="J551" s="7">
        <v>120</v>
      </c>
      <c r="K551" s="7">
        <v>750</v>
      </c>
      <c r="L551" s="7">
        <v>10.45</v>
      </c>
      <c r="M551" s="7">
        <f>(International_Education_Costs!$G551+International_Education_Costs!$I551+International_Education_Costs!$J551+International_Education_Costs!$K551)*International_Education_Costs!$L551</f>
        <v>17974</v>
      </c>
      <c r="N551" s="7">
        <f>International_Education_Costs!$G551+International_Education_Costs!$I551+International_Education_Costs!$J551+International_Education_Costs!$K551</f>
        <v>1720</v>
      </c>
    </row>
    <row r="552" spans="1:14" x14ac:dyDescent="0.3">
      <c r="A552" s="4" t="s">
        <v>37</v>
      </c>
      <c r="B552" s="4" t="s">
        <v>398</v>
      </c>
      <c r="C552" s="4" t="s">
        <v>399</v>
      </c>
      <c r="D552" s="4" t="s">
        <v>20</v>
      </c>
      <c r="E552" s="4" t="s">
        <v>75</v>
      </c>
      <c r="F552" s="4">
        <v>3</v>
      </c>
      <c r="G552" s="5">
        <v>13900</v>
      </c>
      <c r="H552" s="24">
        <v>75.400000000000006</v>
      </c>
      <c r="I552" s="16">
        <v>1100</v>
      </c>
      <c r="J552" s="5">
        <v>171</v>
      </c>
      <c r="K552" s="5">
        <v>720</v>
      </c>
      <c r="L552" s="5">
        <v>0.92</v>
      </c>
      <c r="M552" s="5">
        <f>(International_Education_Costs!$G552+International_Education_Costs!$I552+International_Education_Costs!$J552+International_Education_Costs!$K552)*International_Education_Costs!$L552</f>
        <v>14619.720000000001</v>
      </c>
      <c r="N552" s="5">
        <f>International_Education_Costs!$G552+International_Education_Costs!$I552+International_Education_Costs!$J552+International_Education_Costs!$K552</f>
        <v>15891</v>
      </c>
    </row>
    <row r="553" spans="1:14" x14ac:dyDescent="0.3">
      <c r="A553" s="6" t="s">
        <v>105</v>
      </c>
      <c r="B553" s="6" t="s">
        <v>751</v>
      </c>
      <c r="C553" s="6" t="s">
        <v>752</v>
      </c>
      <c r="D553" s="6" t="s">
        <v>137</v>
      </c>
      <c r="E553" s="6" t="s">
        <v>122</v>
      </c>
      <c r="F553" s="6">
        <v>4</v>
      </c>
      <c r="G553" s="7">
        <v>6800</v>
      </c>
      <c r="H553" s="25">
        <v>56.7</v>
      </c>
      <c r="I553" s="17">
        <v>500</v>
      </c>
      <c r="J553" s="7">
        <v>75</v>
      </c>
      <c r="K553" s="7">
        <v>400</v>
      </c>
      <c r="L553" s="7">
        <v>0.92</v>
      </c>
      <c r="M553" s="7">
        <f>(International_Education_Costs!$G553+International_Education_Costs!$I553+International_Education_Costs!$J553+International_Education_Costs!$K553)*International_Education_Costs!$L553</f>
        <v>7153</v>
      </c>
      <c r="N553" s="7">
        <f>International_Education_Costs!$G553+International_Education_Costs!$I553+International_Education_Costs!$J553+International_Education_Costs!$K553</f>
        <v>7775</v>
      </c>
    </row>
    <row r="554" spans="1:14" x14ac:dyDescent="0.3">
      <c r="A554" s="4" t="s">
        <v>76</v>
      </c>
      <c r="B554" s="4" t="s">
        <v>753</v>
      </c>
      <c r="C554" s="4" t="s">
        <v>754</v>
      </c>
      <c r="D554" s="4" t="s">
        <v>63</v>
      </c>
      <c r="E554" s="4" t="s">
        <v>75</v>
      </c>
      <c r="F554" s="4">
        <v>3</v>
      </c>
      <c r="G554" s="5">
        <v>27500</v>
      </c>
      <c r="H554" s="24">
        <v>67.5</v>
      </c>
      <c r="I554" s="16">
        <v>800</v>
      </c>
      <c r="J554" s="5">
        <v>330</v>
      </c>
      <c r="K554" s="5">
        <v>600</v>
      </c>
      <c r="L554" s="5">
        <v>1.65</v>
      </c>
      <c r="M554" s="5">
        <f>(International_Education_Costs!$G554+International_Education_Costs!$I554+International_Education_Costs!$J554+International_Education_Costs!$K554)*International_Education_Costs!$L554</f>
        <v>48229.5</v>
      </c>
      <c r="N554" s="5">
        <f>International_Education_Costs!$G554+International_Education_Costs!$I554+International_Education_Costs!$J554+International_Education_Costs!$K554</f>
        <v>29230</v>
      </c>
    </row>
    <row r="555" spans="1:14" x14ac:dyDescent="0.3">
      <c r="A555" s="6" t="s">
        <v>12</v>
      </c>
      <c r="B555" s="6" t="s">
        <v>330</v>
      </c>
      <c r="C555" s="6" t="s">
        <v>331</v>
      </c>
      <c r="D555" s="6" t="s">
        <v>208</v>
      </c>
      <c r="E555" s="6" t="s">
        <v>16</v>
      </c>
      <c r="F555" s="6">
        <v>2</v>
      </c>
      <c r="G555" s="7">
        <v>56000</v>
      </c>
      <c r="H555" s="25">
        <v>65.400000000000006</v>
      </c>
      <c r="I555" s="17">
        <v>1500</v>
      </c>
      <c r="J555" s="7">
        <v>160</v>
      </c>
      <c r="K555" s="7">
        <v>1500</v>
      </c>
      <c r="L555" s="7">
        <v>1</v>
      </c>
      <c r="M555" s="7">
        <f>(International_Education_Costs!$G555+International_Education_Costs!$I555+International_Education_Costs!$J555+International_Education_Costs!$K555)*International_Education_Costs!$L555</f>
        <v>59160</v>
      </c>
      <c r="N555" s="7">
        <f>International_Education_Costs!$G555+International_Education_Costs!$I555+International_Education_Costs!$J555+International_Education_Costs!$K555</f>
        <v>59160</v>
      </c>
    </row>
    <row r="556" spans="1:14" x14ac:dyDescent="0.3">
      <c r="A556" s="4" t="s">
        <v>52</v>
      </c>
      <c r="B556" s="4" t="s">
        <v>755</v>
      </c>
      <c r="C556" s="4" t="s">
        <v>756</v>
      </c>
      <c r="D556" s="4" t="s">
        <v>40</v>
      </c>
      <c r="E556" s="4" t="s">
        <v>16</v>
      </c>
      <c r="F556" s="4">
        <v>2</v>
      </c>
      <c r="G556" s="5">
        <v>0</v>
      </c>
      <c r="H556" s="24">
        <v>68.5</v>
      </c>
      <c r="I556" s="16">
        <v>800</v>
      </c>
      <c r="J556" s="5">
        <v>120</v>
      </c>
      <c r="K556" s="5">
        <v>750</v>
      </c>
      <c r="L556" s="5">
        <v>10.45</v>
      </c>
      <c r="M556" s="5">
        <f>(International_Education_Costs!$G556+International_Education_Costs!$I556+International_Education_Costs!$J556+International_Education_Costs!$K556)*International_Education_Costs!$L556</f>
        <v>17451.5</v>
      </c>
      <c r="N556" s="5">
        <f>International_Education_Costs!$G556+International_Education_Costs!$I556+International_Education_Costs!$J556+International_Education_Costs!$K556</f>
        <v>1670</v>
      </c>
    </row>
    <row r="557" spans="1:14" x14ac:dyDescent="0.3">
      <c r="A557" s="6" t="s">
        <v>37</v>
      </c>
      <c r="B557" s="6" t="s">
        <v>389</v>
      </c>
      <c r="C557" s="6" t="s">
        <v>390</v>
      </c>
      <c r="D557" s="6" t="s">
        <v>245</v>
      </c>
      <c r="E557" s="6" t="s">
        <v>122</v>
      </c>
      <c r="F557" s="6">
        <v>4</v>
      </c>
      <c r="G557" s="7">
        <v>14200</v>
      </c>
      <c r="H557" s="25">
        <v>71.2</v>
      </c>
      <c r="I557" s="17">
        <v>900</v>
      </c>
      <c r="J557" s="7">
        <v>171</v>
      </c>
      <c r="K557" s="7">
        <v>720</v>
      </c>
      <c r="L557" s="7">
        <v>0.92</v>
      </c>
      <c r="M557" s="7">
        <f>(International_Education_Costs!$G557+International_Education_Costs!$I557+International_Education_Costs!$J557+International_Education_Costs!$K557)*International_Education_Costs!$L557</f>
        <v>14711.720000000001</v>
      </c>
      <c r="N557" s="7">
        <f>International_Education_Costs!$G557+International_Education_Costs!$I557+International_Education_Costs!$J557+International_Education_Costs!$K557</f>
        <v>15991</v>
      </c>
    </row>
    <row r="558" spans="1:14" x14ac:dyDescent="0.3">
      <c r="A558" s="4" t="s">
        <v>105</v>
      </c>
      <c r="B558" s="4" t="s">
        <v>757</v>
      </c>
      <c r="C558" s="4" t="s">
        <v>758</v>
      </c>
      <c r="D558" s="4" t="s">
        <v>216</v>
      </c>
      <c r="E558" s="4" t="s">
        <v>16</v>
      </c>
      <c r="F558" s="4">
        <v>2</v>
      </c>
      <c r="G558" s="5">
        <v>5900</v>
      </c>
      <c r="H558" s="24">
        <v>55.4</v>
      </c>
      <c r="I558" s="16">
        <v>480</v>
      </c>
      <c r="J558" s="5">
        <v>75</v>
      </c>
      <c r="K558" s="5">
        <v>400</v>
      </c>
      <c r="L558" s="5">
        <v>0.92</v>
      </c>
      <c r="M558" s="5">
        <f>(International_Education_Costs!$G558+International_Education_Costs!$I558+International_Education_Costs!$J558+International_Education_Costs!$K558)*International_Education_Costs!$L558</f>
        <v>6306.6</v>
      </c>
      <c r="N558" s="5">
        <f>International_Education_Costs!$G558+International_Education_Costs!$I558+International_Education_Costs!$J558+International_Education_Costs!$K558</f>
        <v>6855</v>
      </c>
    </row>
    <row r="559" spans="1:14" x14ac:dyDescent="0.3">
      <c r="A559" s="6" t="s">
        <v>76</v>
      </c>
      <c r="B559" s="6" t="s">
        <v>77</v>
      </c>
      <c r="C559" s="6" t="s">
        <v>759</v>
      </c>
      <c r="D559" s="6" t="s">
        <v>71</v>
      </c>
      <c r="E559" s="6" t="s">
        <v>16</v>
      </c>
      <c r="F559" s="6">
        <v>2</v>
      </c>
      <c r="G559" s="7">
        <v>29500</v>
      </c>
      <c r="H559" s="25">
        <v>79.5</v>
      </c>
      <c r="I559" s="17">
        <v>1150</v>
      </c>
      <c r="J559" s="7">
        <v>330</v>
      </c>
      <c r="K559" s="7">
        <v>600</v>
      </c>
      <c r="L559" s="7">
        <v>1.65</v>
      </c>
      <c r="M559" s="7">
        <f>(International_Education_Costs!$G559+International_Education_Costs!$I559+International_Education_Costs!$J559+International_Education_Costs!$K559)*International_Education_Costs!$L559</f>
        <v>52107</v>
      </c>
      <c r="N559" s="7">
        <f>International_Education_Costs!$G559+International_Education_Costs!$I559+International_Education_Costs!$J559+International_Education_Costs!$K559</f>
        <v>31580</v>
      </c>
    </row>
    <row r="560" spans="1:14" x14ac:dyDescent="0.3">
      <c r="A560" s="4" t="s">
        <v>12</v>
      </c>
      <c r="B560" s="4" t="s">
        <v>523</v>
      </c>
      <c r="C560" s="4" t="s">
        <v>524</v>
      </c>
      <c r="D560" s="4" t="s">
        <v>15</v>
      </c>
      <c r="E560" s="4" t="s">
        <v>16</v>
      </c>
      <c r="F560" s="4">
        <v>2</v>
      </c>
      <c r="G560" s="5">
        <v>47000</v>
      </c>
      <c r="H560" s="24">
        <v>67.8</v>
      </c>
      <c r="I560" s="16">
        <v>1400</v>
      </c>
      <c r="J560" s="5">
        <v>160</v>
      </c>
      <c r="K560" s="5">
        <v>1500</v>
      </c>
      <c r="L560" s="5">
        <v>1</v>
      </c>
      <c r="M560" s="5">
        <f>(International_Education_Costs!$G560+International_Education_Costs!$I560+International_Education_Costs!$J560+International_Education_Costs!$K560)*International_Education_Costs!$L560</f>
        <v>50060</v>
      </c>
      <c r="N560" s="5">
        <f>International_Education_Costs!$G560+International_Education_Costs!$I560+International_Education_Costs!$J560+International_Education_Costs!$K560</f>
        <v>50060</v>
      </c>
    </row>
    <row r="561" spans="1:14" x14ac:dyDescent="0.3">
      <c r="A561" s="6" t="s">
        <v>52</v>
      </c>
      <c r="B561" s="6" t="s">
        <v>760</v>
      </c>
      <c r="C561" s="6" t="s">
        <v>761</v>
      </c>
      <c r="D561" s="6" t="s">
        <v>216</v>
      </c>
      <c r="E561" s="6" t="s">
        <v>75</v>
      </c>
      <c r="F561" s="6">
        <v>3</v>
      </c>
      <c r="G561" s="7">
        <v>0</v>
      </c>
      <c r="H561" s="25">
        <v>67.2</v>
      </c>
      <c r="I561" s="17">
        <v>750</v>
      </c>
      <c r="J561" s="7">
        <v>120</v>
      </c>
      <c r="K561" s="7">
        <v>750</v>
      </c>
      <c r="L561" s="7">
        <v>10.45</v>
      </c>
      <c r="M561" s="7">
        <f>(International_Education_Costs!$G561+International_Education_Costs!$I561+International_Education_Costs!$J561+International_Education_Costs!$K561)*International_Education_Costs!$L561</f>
        <v>16929</v>
      </c>
      <c r="N561" s="7">
        <f>International_Education_Costs!$G561+International_Education_Costs!$I561+International_Education_Costs!$J561+International_Education_Costs!$K561</f>
        <v>1620</v>
      </c>
    </row>
    <row r="562" spans="1:14" x14ac:dyDescent="0.3">
      <c r="A562" s="4" t="s">
        <v>37</v>
      </c>
      <c r="B562" s="4" t="s">
        <v>396</v>
      </c>
      <c r="C562" s="4" t="s">
        <v>397</v>
      </c>
      <c r="D562" s="4" t="s">
        <v>20</v>
      </c>
      <c r="E562" s="4" t="s">
        <v>16</v>
      </c>
      <c r="F562" s="4">
        <v>2</v>
      </c>
      <c r="G562" s="5">
        <v>14000</v>
      </c>
      <c r="H562" s="24">
        <v>70.5</v>
      </c>
      <c r="I562" s="16">
        <v>950</v>
      </c>
      <c r="J562" s="5">
        <v>171</v>
      </c>
      <c r="K562" s="5">
        <v>720</v>
      </c>
      <c r="L562" s="5">
        <v>0.92</v>
      </c>
      <c r="M562" s="5">
        <f>(International_Education_Costs!$G562+International_Education_Costs!$I562+International_Education_Costs!$J562+International_Education_Costs!$K562)*International_Education_Costs!$L562</f>
        <v>14573.720000000001</v>
      </c>
      <c r="N562" s="5">
        <f>International_Education_Costs!$G562+International_Education_Costs!$I562+International_Education_Costs!$J562+International_Education_Costs!$K562</f>
        <v>15841</v>
      </c>
    </row>
    <row r="563" spans="1:14" x14ac:dyDescent="0.3">
      <c r="A563" s="6" t="s">
        <v>105</v>
      </c>
      <c r="B563" s="6" t="s">
        <v>762</v>
      </c>
      <c r="C563" s="6" t="s">
        <v>763</v>
      </c>
      <c r="D563" s="6" t="s">
        <v>63</v>
      </c>
      <c r="E563" s="6" t="s">
        <v>16</v>
      </c>
      <c r="F563" s="6">
        <v>2</v>
      </c>
      <c r="G563" s="7">
        <v>5700</v>
      </c>
      <c r="H563" s="25">
        <v>54.3</v>
      </c>
      <c r="I563" s="17">
        <v>450</v>
      </c>
      <c r="J563" s="7">
        <v>75</v>
      </c>
      <c r="K563" s="7">
        <v>400</v>
      </c>
      <c r="L563" s="7">
        <v>0.92</v>
      </c>
      <c r="M563" s="7">
        <f>(International_Education_Costs!$G563+International_Education_Costs!$I563+International_Education_Costs!$J563+International_Education_Costs!$K563)*International_Education_Costs!$L563</f>
        <v>6095</v>
      </c>
      <c r="N563" s="7">
        <f>International_Education_Costs!$G563+International_Education_Costs!$I563+International_Education_Costs!$J563+International_Education_Costs!$K563</f>
        <v>6625</v>
      </c>
    </row>
    <row r="564" spans="1:14" x14ac:dyDescent="0.3">
      <c r="A564" s="4" t="s">
        <v>76</v>
      </c>
      <c r="B564" s="4" t="s">
        <v>736</v>
      </c>
      <c r="C564" s="4" t="s">
        <v>764</v>
      </c>
      <c r="D564" s="4" t="s">
        <v>765</v>
      </c>
      <c r="E564" s="4" t="s">
        <v>122</v>
      </c>
      <c r="F564" s="4">
        <v>4</v>
      </c>
      <c r="G564" s="5">
        <v>28000</v>
      </c>
      <c r="H564" s="24">
        <v>72.400000000000006</v>
      </c>
      <c r="I564" s="16">
        <v>900</v>
      </c>
      <c r="J564" s="5">
        <v>330</v>
      </c>
      <c r="K564" s="5">
        <v>600</v>
      </c>
      <c r="L564" s="5">
        <v>1.65</v>
      </c>
      <c r="M564" s="5">
        <f>(International_Education_Costs!$G564+International_Education_Costs!$I564+International_Education_Costs!$J564+International_Education_Costs!$K564)*International_Education_Costs!$L564</f>
        <v>49219.5</v>
      </c>
      <c r="N564" s="5">
        <f>International_Education_Costs!$G564+International_Education_Costs!$I564+International_Education_Costs!$J564+International_Education_Costs!$K564</f>
        <v>29830</v>
      </c>
    </row>
    <row r="565" spans="1:14" x14ac:dyDescent="0.3">
      <c r="A565" s="6" t="s">
        <v>12</v>
      </c>
      <c r="B565" s="6" t="s">
        <v>288</v>
      </c>
      <c r="C565" s="6" t="s">
        <v>289</v>
      </c>
      <c r="D565" s="6" t="s">
        <v>20</v>
      </c>
      <c r="E565" s="6" t="s">
        <v>16</v>
      </c>
      <c r="F565" s="6">
        <v>2</v>
      </c>
      <c r="G565" s="7">
        <v>48000</v>
      </c>
      <c r="H565" s="25">
        <v>73.2</v>
      </c>
      <c r="I565" s="17">
        <v>1600</v>
      </c>
      <c r="J565" s="7">
        <v>160</v>
      </c>
      <c r="K565" s="7">
        <v>1500</v>
      </c>
      <c r="L565" s="7">
        <v>1</v>
      </c>
      <c r="M565" s="7">
        <f>(International_Education_Costs!$G565+International_Education_Costs!$I565+International_Education_Costs!$J565+International_Education_Costs!$K565)*International_Education_Costs!$L565</f>
        <v>51260</v>
      </c>
      <c r="N565" s="7">
        <f>International_Education_Costs!$G565+International_Education_Costs!$I565+International_Education_Costs!$J565+International_Education_Costs!$K565</f>
        <v>51260</v>
      </c>
    </row>
    <row r="566" spans="1:14" x14ac:dyDescent="0.3">
      <c r="A566" s="4" t="s">
        <v>52</v>
      </c>
      <c r="B566" s="4" t="s">
        <v>766</v>
      </c>
      <c r="C566" s="4" t="s">
        <v>767</v>
      </c>
      <c r="D566" s="4" t="s">
        <v>208</v>
      </c>
      <c r="E566" s="4" t="s">
        <v>16</v>
      </c>
      <c r="F566" s="4">
        <v>2</v>
      </c>
      <c r="G566" s="5">
        <v>0</v>
      </c>
      <c r="H566" s="24">
        <v>66.5</v>
      </c>
      <c r="I566" s="16">
        <v>700</v>
      </c>
      <c r="J566" s="5">
        <v>120</v>
      </c>
      <c r="K566" s="5">
        <v>750</v>
      </c>
      <c r="L566" s="5">
        <v>10.45</v>
      </c>
      <c r="M566" s="5">
        <f>(International_Education_Costs!$G566+International_Education_Costs!$I566+International_Education_Costs!$J566+International_Education_Costs!$K566)*International_Education_Costs!$L566</f>
        <v>16406.5</v>
      </c>
      <c r="N566" s="5">
        <f>International_Education_Costs!$G566+International_Education_Costs!$I566+International_Education_Costs!$J566+International_Education_Costs!$K566</f>
        <v>1570</v>
      </c>
    </row>
    <row r="567" spans="1:14" x14ac:dyDescent="0.3">
      <c r="A567" s="6" t="s">
        <v>37</v>
      </c>
      <c r="B567" s="6" t="s">
        <v>403</v>
      </c>
      <c r="C567" s="6" t="s">
        <v>404</v>
      </c>
      <c r="D567" s="6" t="s">
        <v>59</v>
      </c>
      <c r="E567" s="6" t="s">
        <v>16</v>
      </c>
      <c r="F567" s="6">
        <v>2</v>
      </c>
      <c r="G567" s="7">
        <v>14500</v>
      </c>
      <c r="H567" s="25">
        <v>69.8</v>
      </c>
      <c r="I567" s="17">
        <v>900</v>
      </c>
      <c r="J567" s="7">
        <v>171</v>
      </c>
      <c r="K567" s="7">
        <v>720</v>
      </c>
      <c r="L567" s="7">
        <v>0.92</v>
      </c>
      <c r="M567" s="7">
        <f>(International_Education_Costs!$G567+International_Education_Costs!$I567+International_Education_Costs!$J567+International_Education_Costs!$K567)*International_Education_Costs!$L567</f>
        <v>14987.720000000001</v>
      </c>
      <c r="N567" s="7">
        <f>International_Education_Costs!$G567+International_Education_Costs!$I567+International_Education_Costs!$J567+International_Education_Costs!$K567</f>
        <v>16291</v>
      </c>
    </row>
    <row r="568" spans="1:14" x14ac:dyDescent="0.3">
      <c r="A568" s="4" t="s">
        <v>105</v>
      </c>
      <c r="B568" s="4" t="s">
        <v>768</v>
      </c>
      <c r="C568" s="4" t="s">
        <v>769</v>
      </c>
      <c r="D568" s="4" t="s">
        <v>770</v>
      </c>
      <c r="E568" s="4" t="s">
        <v>75</v>
      </c>
      <c r="F568" s="4">
        <v>3</v>
      </c>
      <c r="G568" s="5">
        <v>5500</v>
      </c>
      <c r="H568" s="24">
        <v>53.2</v>
      </c>
      <c r="I568" s="16">
        <v>400</v>
      </c>
      <c r="J568" s="5">
        <v>75</v>
      </c>
      <c r="K568" s="5">
        <v>400</v>
      </c>
      <c r="L568" s="5">
        <v>0.92</v>
      </c>
      <c r="M568" s="5">
        <f>(International_Education_Costs!$G568+International_Education_Costs!$I568+International_Education_Costs!$J568+International_Education_Costs!$K568)*International_Education_Costs!$L568</f>
        <v>5865</v>
      </c>
      <c r="N568" s="5">
        <f>International_Education_Costs!$G568+International_Education_Costs!$I568+International_Education_Costs!$J568+International_Education_Costs!$K568</f>
        <v>6375</v>
      </c>
    </row>
    <row r="569" spans="1:14" x14ac:dyDescent="0.3">
      <c r="A569" s="6" t="s">
        <v>184</v>
      </c>
      <c r="B569" s="6" t="s">
        <v>771</v>
      </c>
      <c r="C569" s="6" t="s">
        <v>772</v>
      </c>
      <c r="D569" s="6" t="s">
        <v>15</v>
      </c>
      <c r="E569" s="6" t="s">
        <v>16</v>
      </c>
      <c r="F569" s="6">
        <v>2</v>
      </c>
      <c r="G569" s="7">
        <v>3500</v>
      </c>
      <c r="H569" s="25">
        <v>71.400000000000006</v>
      </c>
      <c r="I569" s="17">
        <v>1100</v>
      </c>
      <c r="J569" s="7">
        <v>80</v>
      </c>
      <c r="K569" s="7">
        <v>750</v>
      </c>
      <c r="L569" s="7">
        <v>0.92</v>
      </c>
      <c r="M569" s="7">
        <f>(International_Education_Costs!$G569+International_Education_Costs!$I569+International_Education_Costs!$J569+International_Education_Costs!$K569)*International_Education_Costs!$L569</f>
        <v>4995.6000000000004</v>
      </c>
      <c r="N569" s="7">
        <f>International_Education_Costs!$G569+International_Education_Costs!$I569+International_Education_Costs!$J569+International_Education_Costs!$K569</f>
        <v>5430</v>
      </c>
    </row>
    <row r="570" spans="1:14" x14ac:dyDescent="0.3">
      <c r="A570" s="4" t="s">
        <v>187</v>
      </c>
      <c r="B570" s="4" t="s">
        <v>188</v>
      </c>
      <c r="C570" s="4" t="s">
        <v>189</v>
      </c>
      <c r="D570" s="4" t="s">
        <v>252</v>
      </c>
      <c r="E570" s="4" t="s">
        <v>16</v>
      </c>
      <c r="F570" s="4">
        <v>2</v>
      </c>
      <c r="G570" s="5">
        <v>4000</v>
      </c>
      <c r="H570" s="24">
        <v>73.2</v>
      </c>
      <c r="I570" s="16">
        <v>1200</v>
      </c>
      <c r="J570" s="5">
        <v>120</v>
      </c>
      <c r="K570" s="5">
        <v>700</v>
      </c>
      <c r="L570" s="5">
        <v>0.92</v>
      </c>
      <c r="M570" s="5">
        <f>(International_Education_Costs!$G570+International_Education_Costs!$I570+International_Education_Costs!$J570+International_Education_Costs!$K570)*International_Education_Costs!$L570</f>
        <v>5538.4000000000005</v>
      </c>
      <c r="N570" s="5">
        <f>International_Education_Costs!$G570+International_Education_Costs!$I570+International_Education_Costs!$J570+International_Education_Costs!$K570</f>
        <v>6020</v>
      </c>
    </row>
    <row r="571" spans="1:14" x14ac:dyDescent="0.3">
      <c r="A571" s="6" t="s">
        <v>349</v>
      </c>
      <c r="B571" s="6" t="s">
        <v>350</v>
      </c>
      <c r="C571" s="6" t="s">
        <v>351</v>
      </c>
      <c r="D571" s="6" t="s">
        <v>125</v>
      </c>
      <c r="E571" s="6" t="s">
        <v>122</v>
      </c>
      <c r="F571" s="6">
        <v>4</v>
      </c>
      <c r="G571" s="7">
        <v>0</v>
      </c>
      <c r="H571" s="25">
        <v>65.8</v>
      </c>
      <c r="I571" s="17">
        <v>650</v>
      </c>
      <c r="J571" s="7">
        <v>100</v>
      </c>
      <c r="K571" s="7">
        <v>600</v>
      </c>
      <c r="L571" s="7">
        <v>0.92</v>
      </c>
      <c r="M571" s="7">
        <f>(International_Education_Costs!$G571+International_Education_Costs!$I571+International_Education_Costs!$J571+International_Education_Costs!$K571)*International_Education_Costs!$L571</f>
        <v>1242</v>
      </c>
      <c r="N571" s="7">
        <f>International_Education_Costs!$G571+International_Education_Costs!$I571+International_Education_Costs!$J571+International_Education_Costs!$K571</f>
        <v>1350</v>
      </c>
    </row>
    <row r="572" spans="1:14" x14ac:dyDescent="0.3">
      <c r="A572" s="4" t="s">
        <v>80</v>
      </c>
      <c r="B572" s="4" t="s">
        <v>81</v>
      </c>
      <c r="C572" s="4" t="s">
        <v>773</v>
      </c>
      <c r="D572" s="4" t="s">
        <v>208</v>
      </c>
      <c r="E572" s="4" t="s">
        <v>16</v>
      </c>
      <c r="F572" s="4">
        <v>2</v>
      </c>
      <c r="G572" s="5">
        <v>1500</v>
      </c>
      <c r="H572" s="24">
        <v>78.5</v>
      </c>
      <c r="I572" s="16">
        <v>950</v>
      </c>
      <c r="J572" s="5">
        <v>160</v>
      </c>
      <c r="K572" s="5">
        <v>850</v>
      </c>
      <c r="L572" s="5">
        <v>0.92</v>
      </c>
      <c r="M572" s="5">
        <f>(International_Education_Costs!$G572+International_Education_Costs!$I572+International_Education_Costs!$J572+International_Education_Costs!$K572)*International_Education_Costs!$L572</f>
        <v>3183.2000000000003</v>
      </c>
      <c r="N572" s="5">
        <f>International_Education_Costs!$G572+International_Education_Costs!$I572+International_Education_Costs!$J572+International_Education_Costs!$K572</f>
        <v>3460</v>
      </c>
    </row>
    <row r="573" spans="1:14" x14ac:dyDescent="0.3">
      <c r="A573" s="6" t="s">
        <v>346</v>
      </c>
      <c r="B573" s="6" t="s">
        <v>347</v>
      </c>
      <c r="C573" s="6" t="s">
        <v>348</v>
      </c>
      <c r="D573" s="6" t="s">
        <v>63</v>
      </c>
      <c r="E573" s="6" t="s">
        <v>75</v>
      </c>
      <c r="F573" s="6">
        <v>4</v>
      </c>
      <c r="G573" s="7">
        <v>800</v>
      </c>
      <c r="H573" s="25">
        <v>52.4</v>
      </c>
      <c r="I573" s="17">
        <v>600</v>
      </c>
      <c r="J573" s="7">
        <v>40</v>
      </c>
      <c r="K573" s="7">
        <v>400</v>
      </c>
      <c r="L573" s="7">
        <v>17.05</v>
      </c>
      <c r="M573" s="7">
        <f>(International_Education_Costs!$G573+International_Education_Costs!$I573+International_Education_Costs!$J573+International_Education_Costs!$K573)*International_Education_Costs!$L573</f>
        <v>31372</v>
      </c>
      <c r="N573" s="7">
        <f>International_Education_Costs!$G573+International_Education_Costs!$I573+International_Education_Costs!$J573+International_Education_Costs!$K573</f>
        <v>1840</v>
      </c>
    </row>
    <row r="574" spans="1:14" x14ac:dyDescent="0.3">
      <c r="A574" s="4" t="s">
        <v>184</v>
      </c>
      <c r="B574" s="4" t="s">
        <v>185</v>
      </c>
      <c r="C574" s="4" t="s">
        <v>774</v>
      </c>
      <c r="D574" s="4" t="s">
        <v>40</v>
      </c>
      <c r="E574" s="4" t="s">
        <v>16</v>
      </c>
      <c r="F574" s="4">
        <v>2</v>
      </c>
      <c r="G574" s="5">
        <v>3800</v>
      </c>
      <c r="H574" s="24">
        <v>73.599999999999994</v>
      </c>
      <c r="I574" s="16">
        <v>1000</v>
      </c>
      <c r="J574" s="5">
        <v>80</v>
      </c>
      <c r="K574" s="5">
        <v>750</v>
      </c>
      <c r="L574" s="5">
        <v>0.92</v>
      </c>
      <c r="M574" s="5">
        <f>(International_Education_Costs!$G574+International_Education_Costs!$I574+International_Education_Costs!$J574+International_Education_Costs!$K574)*International_Education_Costs!$L574</f>
        <v>5179.6000000000004</v>
      </c>
      <c r="N574" s="5">
        <f>International_Education_Costs!$G574+International_Education_Costs!$I574+International_Education_Costs!$J574+International_Education_Costs!$K574</f>
        <v>5630</v>
      </c>
    </row>
    <row r="575" spans="1:14" x14ac:dyDescent="0.3">
      <c r="A575" s="6" t="s">
        <v>187</v>
      </c>
      <c r="B575" s="6" t="s">
        <v>775</v>
      </c>
      <c r="C575" s="6" t="s">
        <v>776</v>
      </c>
      <c r="D575" s="6" t="s">
        <v>137</v>
      </c>
      <c r="E575" s="6" t="s">
        <v>122</v>
      </c>
      <c r="F575" s="6">
        <v>4</v>
      </c>
      <c r="G575" s="7">
        <v>3500</v>
      </c>
      <c r="H575" s="25">
        <v>71.2</v>
      </c>
      <c r="I575" s="17">
        <v>1100</v>
      </c>
      <c r="J575" s="7">
        <v>120</v>
      </c>
      <c r="K575" s="7">
        <v>700</v>
      </c>
      <c r="L575" s="7">
        <v>0.92</v>
      </c>
      <c r="M575" s="7">
        <f>(International_Education_Costs!$G575+International_Education_Costs!$I575+International_Education_Costs!$J575+International_Education_Costs!$K575)*International_Education_Costs!$L575</f>
        <v>4986.4000000000005</v>
      </c>
      <c r="N575" s="7">
        <f>International_Education_Costs!$G575+International_Education_Costs!$I575+International_Education_Costs!$J575+International_Education_Costs!$K575</f>
        <v>5420</v>
      </c>
    </row>
    <row r="576" spans="1:14" x14ac:dyDescent="0.3">
      <c r="A576" s="4" t="s">
        <v>349</v>
      </c>
      <c r="B576" s="4" t="s">
        <v>777</v>
      </c>
      <c r="C576" s="4" t="s">
        <v>778</v>
      </c>
      <c r="D576" s="4" t="s">
        <v>63</v>
      </c>
      <c r="E576" s="4" t="s">
        <v>16</v>
      </c>
      <c r="F576" s="4">
        <v>2</v>
      </c>
      <c r="G576" s="5">
        <v>0</v>
      </c>
      <c r="H576" s="24">
        <v>62.4</v>
      </c>
      <c r="I576" s="16">
        <v>500</v>
      </c>
      <c r="J576" s="5">
        <v>100</v>
      </c>
      <c r="K576" s="5">
        <v>600</v>
      </c>
      <c r="L576" s="5">
        <v>0.92</v>
      </c>
      <c r="M576" s="5">
        <f>(International_Education_Costs!$G576+International_Education_Costs!$I576+International_Education_Costs!$J576+International_Education_Costs!$K576)*International_Education_Costs!$L576</f>
        <v>1104</v>
      </c>
      <c r="N576" s="5">
        <f>International_Education_Costs!$G576+International_Education_Costs!$I576+International_Education_Costs!$J576+International_Education_Costs!$K576</f>
        <v>1200</v>
      </c>
    </row>
    <row r="577" spans="1:14" x14ac:dyDescent="0.3">
      <c r="A577" s="6" t="s">
        <v>80</v>
      </c>
      <c r="B577" s="6" t="s">
        <v>779</v>
      </c>
      <c r="C577" s="6" t="s">
        <v>780</v>
      </c>
      <c r="D577" s="6" t="s">
        <v>32</v>
      </c>
      <c r="E577" s="6" t="s">
        <v>75</v>
      </c>
      <c r="F577" s="6">
        <v>3</v>
      </c>
      <c r="G577" s="7">
        <v>1500</v>
      </c>
      <c r="H577" s="25">
        <v>71.2</v>
      </c>
      <c r="I577" s="17">
        <v>750</v>
      </c>
      <c r="J577" s="7">
        <v>160</v>
      </c>
      <c r="K577" s="7">
        <v>850</v>
      </c>
      <c r="L577" s="7">
        <v>0.92</v>
      </c>
      <c r="M577" s="7">
        <f>(International_Education_Costs!$G577+International_Education_Costs!$I577+International_Education_Costs!$J577+International_Education_Costs!$K577)*International_Education_Costs!$L577</f>
        <v>2999.2000000000003</v>
      </c>
      <c r="N577" s="7">
        <f>International_Education_Costs!$G577+International_Education_Costs!$I577+International_Education_Costs!$J577+International_Education_Costs!$K577</f>
        <v>3260</v>
      </c>
    </row>
    <row r="578" spans="1:14" x14ac:dyDescent="0.3">
      <c r="A578" s="4" t="s">
        <v>346</v>
      </c>
      <c r="B578" s="4" t="s">
        <v>781</v>
      </c>
      <c r="C578" s="4" t="s">
        <v>782</v>
      </c>
      <c r="D578" s="4" t="s">
        <v>20</v>
      </c>
      <c r="E578" s="4" t="s">
        <v>16</v>
      </c>
      <c r="F578" s="4">
        <v>2</v>
      </c>
      <c r="G578" s="5">
        <v>12000</v>
      </c>
      <c r="H578" s="24">
        <v>48.9</v>
      </c>
      <c r="I578" s="16">
        <v>700</v>
      </c>
      <c r="J578" s="5">
        <v>40</v>
      </c>
      <c r="K578" s="5">
        <v>400</v>
      </c>
      <c r="L578" s="5">
        <v>17.05</v>
      </c>
      <c r="M578" s="5">
        <f>(International_Education_Costs!$G578+International_Education_Costs!$I578+International_Education_Costs!$J578+International_Education_Costs!$K578)*International_Education_Costs!$L578</f>
        <v>224037</v>
      </c>
      <c r="N578" s="5">
        <f>International_Education_Costs!$G578+International_Education_Costs!$I578+International_Education_Costs!$J578+International_Education_Costs!$K578</f>
        <v>13140</v>
      </c>
    </row>
    <row r="579" spans="1:14" x14ac:dyDescent="0.3">
      <c r="A579" s="6" t="s">
        <v>184</v>
      </c>
      <c r="B579" s="6" t="s">
        <v>783</v>
      </c>
      <c r="C579" s="6" t="s">
        <v>784</v>
      </c>
      <c r="D579" s="6" t="s">
        <v>20</v>
      </c>
      <c r="E579" s="6" t="s">
        <v>16</v>
      </c>
      <c r="F579" s="6">
        <v>2</v>
      </c>
      <c r="G579" s="7">
        <v>3200</v>
      </c>
      <c r="H579" s="25">
        <v>68.5</v>
      </c>
      <c r="I579" s="17">
        <v>800</v>
      </c>
      <c r="J579" s="7">
        <v>80</v>
      </c>
      <c r="K579" s="7">
        <v>750</v>
      </c>
      <c r="L579" s="7">
        <v>0.92</v>
      </c>
      <c r="M579" s="7">
        <f>(International_Education_Costs!$G579+International_Education_Costs!$I579+International_Education_Costs!$J579+International_Education_Costs!$K579)*International_Education_Costs!$L579</f>
        <v>4443.6000000000004</v>
      </c>
      <c r="N579" s="7">
        <f>International_Education_Costs!$G579+International_Education_Costs!$I579+International_Education_Costs!$J579+International_Education_Costs!$K579</f>
        <v>4830</v>
      </c>
    </row>
    <row r="580" spans="1:14" x14ac:dyDescent="0.3">
      <c r="A580" s="4" t="s">
        <v>187</v>
      </c>
      <c r="B580" s="4" t="s">
        <v>785</v>
      </c>
      <c r="C580" s="4" t="s">
        <v>786</v>
      </c>
      <c r="D580" s="4" t="s">
        <v>63</v>
      </c>
      <c r="E580" s="4" t="s">
        <v>16</v>
      </c>
      <c r="F580" s="4">
        <v>2</v>
      </c>
      <c r="G580" s="5">
        <v>3800</v>
      </c>
      <c r="H580" s="24">
        <v>69.8</v>
      </c>
      <c r="I580" s="16">
        <v>900</v>
      </c>
      <c r="J580" s="5">
        <v>120</v>
      </c>
      <c r="K580" s="5">
        <v>700</v>
      </c>
      <c r="L580" s="5">
        <v>0.92</v>
      </c>
      <c r="M580" s="5">
        <f>(International_Education_Costs!$G580+International_Education_Costs!$I580+International_Education_Costs!$J580+International_Education_Costs!$K580)*International_Education_Costs!$L580</f>
        <v>5078.4000000000005</v>
      </c>
      <c r="N580" s="5">
        <f>International_Education_Costs!$G580+International_Education_Costs!$I580+International_Education_Costs!$J580+International_Education_Costs!$K580</f>
        <v>5520</v>
      </c>
    </row>
    <row r="581" spans="1:14" x14ac:dyDescent="0.3">
      <c r="A581" s="6" t="s">
        <v>349</v>
      </c>
      <c r="B581" s="6" t="s">
        <v>787</v>
      </c>
      <c r="C581" s="6" t="s">
        <v>788</v>
      </c>
      <c r="D581" s="6" t="s">
        <v>789</v>
      </c>
      <c r="E581" s="6" t="s">
        <v>122</v>
      </c>
      <c r="F581" s="6">
        <v>4</v>
      </c>
      <c r="G581" s="7">
        <v>0</v>
      </c>
      <c r="H581" s="25">
        <v>60.5</v>
      </c>
      <c r="I581" s="17">
        <v>450</v>
      </c>
      <c r="J581" s="7">
        <v>100</v>
      </c>
      <c r="K581" s="7">
        <v>600</v>
      </c>
      <c r="L581" s="7">
        <v>0.92</v>
      </c>
      <c r="M581" s="7">
        <f>(International_Education_Costs!$G581+International_Education_Costs!$I581+International_Education_Costs!$J581+International_Education_Costs!$K581)*International_Education_Costs!$L581</f>
        <v>1058</v>
      </c>
      <c r="N581" s="7">
        <f>International_Education_Costs!$G581+International_Education_Costs!$I581+International_Education_Costs!$J581+International_Education_Costs!$K581</f>
        <v>1150</v>
      </c>
    </row>
    <row r="582" spans="1:14" x14ac:dyDescent="0.3">
      <c r="A582" s="4" t="s">
        <v>80</v>
      </c>
      <c r="B582" s="4" t="s">
        <v>790</v>
      </c>
      <c r="C582" s="4" t="s">
        <v>791</v>
      </c>
      <c r="D582" s="4" t="s">
        <v>40</v>
      </c>
      <c r="E582" s="4" t="s">
        <v>16</v>
      </c>
      <c r="F582" s="4">
        <v>2</v>
      </c>
      <c r="G582" s="5">
        <v>1500</v>
      </c>
      <c r="H582" s="24">
        <v>70.400000000000006</v>
      </c>
      <c r="I582" s="16">
        <v>700</v>
      </c>
      <c r="J582" s="5">
        <v>160</v>
      </c>
      <c r="K582" s="5">
        <v>850</v>
      </c>
      <c r="L582" s="5">
        <v>0.92</v>
      </c>
      <c r="M582" s="5">
        <f>(International_Education_Costs!$G582+International_Education_Costs!$I582+International_Education_Costs!$J582+International_Education_Costs!$K582)*International_Education_Costs!$L582</f>
        <v>2953.2000000000003</v>
      </c>
      <c r="N582" s="5">
        <f>International_Education_Costs!$G582+International_Education_Costs!$I582+International_Education_Costs!$J582+International_Education_Costs!$K582</f>
        <v>3210</v>
      </c>
    </row>
    <row r="583" spans="1:14" x14ac:dyDescent="0.3">
      <c r="A583" s="6" t="s">
        <v>346</v>
      </c>
      <c r="B583" s="6" t="s">
        <v>792</v>
      </c>
      <c r="C583" s="6" t="s">
        <v>793</v>
      </c>
      <c r="D583" s="6" t="s">
        <v>208</v>
      </c>
      <c r="E583" s="6" t="s">
        <v>75</v>
      </c>
      <c r="F583" s="6">
        <v>4</v>
      </c>
      <c r="G583" s="7">
        <v>900</v>
      </c>
      <c r="H583" s="25">
        <v>45.6</v>
      </c>
      <c r="I583" s="17">
        <v>500</v>
      </c>
      <c r="J583" s="7">
        <v>40</v>
      </c>
      <c r="K583" s="7">
        <v>400</v>
      </c>
      <c r="L583" s="7">
        <v>17.05</v>
      </c>
      <c r="M583" s="7">
        <f>(International_Education_Costs!$G583+International_Education_Costs!$I583+International_Education_Costs!$J583+International_Education_Costs!$K583)*International_Education_Costs!$L583</f>
        <v>31372</v>
      </c>
      <c r="N583" s="7">
        <f>International_Education_Costs!$G583+International_Education_Costs!$I583+International_Education_Costs!$J583+International_Education_Costs!$K583</f>
        <v>1840</v>
      </c>
    </row>
    <row r="584" spans="1:14" x14ac:dyDescent="0.3">
      <c r="A584" s="4" t="s">
        <v>184</v>
      </c>
      <c r="B584" s="4" t="s">
        <v>794</v>
      </c>
      <c r="C584" s="4" t="s">
        <v>795</v>
      </c>
      <c r="D584" s="4" t="s">
        <v>137</v>
      </c>
      <c r="E584" s="4" t="s">
        <v>16</v>
      </c>
      <c r="F584" s="4">
        <v>2</v>
      </c>
      <c r="G584" s="5">
        <v>3000</v>
      </c>
      <c r="H584" s="24">
        <v>65.400000000000006</v>
      </c>
      <c r="I584" s="16">
        <v>750</v>
      </c>
      <c r="J584" s="5">
        <v>80</v>
      </c>
      <c r="K584" s="5">
        <v>750</v>
      </c>
      <c r="L584" s="5">
        <v>0.92</v>
      </c>
      <c r="M584" s="5">
        <f>(International_Education_Costs!$G584+International_Education_Costs!$I584+International_Education_Costs!$J584+International_Education_Costs!$K584)*International_Education_Costs!$L584</f>
        <v>4213.6000000000004</v>
      </c>
      <c r="N584" s="5">
        <f>International_Education_Costs!$G584+International_Education_Costs!$I584+International_Education_Costs!$J584+International_Education_Costs!$K584</f>
        <v>4580</v>
      </c>
    </row>
    <row r="585" spans="1:14" x14ac:dyDescent="0.3">
      <c r="A585" s="6" t="s">
        <v>187</v>
      </c>
      <c r="B585" s="6" t="s">
        <v>796</v>
      </c>
      <c r="C585" s="6" t="s">
        <v>797</v>
      </c>
      <c r="D585" s="6" t="s">
        <v>223</v>
      </c>
      <c r="E585" s="6" t="s">
        <v>122</v>
      </c>
      <c r="F585" s="6">
        <v>4</v>
      </c>
      <c r="G585" s="7">
        <v>3600</v>
      </c>
      <c r="H585" s="25">
        <v>70.5</v>
      </c>
      <c r="I585" s="17">
        <v>950</v>
      </c>
      <c r="J585" s="7">
        <v>120</v>
      </c>
      <c r="K585" s="7">
        <v>700</v>
      </c>
      <c r="L585" s="7">
        <v>0.92</v>
      </c>
      <c r="M585" s="7">
        <f>(International_Education_Costs!$G585+International_Education_Costs!$I585+International_Education_Costs!$J585+International_Education_Costs!$K585)*International_Education_Costs!$L585</f>
        <v>4940.4000000000005</v>
      </c>
      <c r="N585" s="7">
        <f>International_Education_Costs!$G585+International_Education_Costs!$I585+International_Education_Costs!$J585+International_Education_Costs!$K585</f>
        <v>5370</v>
      </c>
    </row>
    <row r="586" spans="1:14" x14ac:dyDescent="0.3">
      <c r="A586" s="4" t="s">
        <v>349</v>
      </c>
      <c r="B586" s="4" t="s">
        <v>798</v>
      </c>
      <c r="C586" s="4" t="s">
        <v>799</v>
      </c>
      <c r="D586" s="4" t="s">
        <v>15</v>
      </c>
      <c r="E586" s="4" t="s">
        <v>16</v>
      </c>
      <c r="F586" s="4">
        <v>2</v>
      </c>
      <c r="G586" s="5">
        <v>0</v>
      </c>
      <c r="H586" s="24">
        <v>61.2</v>
      </c>
      <c r="I586" s="16">
        <v>480</v>
      </c>
      <c r="J586" s="5">
        <v>100</v>
      </c>
      <c r="K586" s="5">
        <v>600</v>
      </c>
      <c r="L586" s="5">
        <v>0.92</v>
      </c>
      <c r="M586" s="5">
        <f>(International_Education_Costs!$G586+International_Education_Costs!$I586+International_Education_Costs!$J586+International_Education_Costs!$K586)*International_Education_Costs!$L586</f>
        <v>1085.6000000000001</v>
      </c>
      <c r="N586" s="5">
        <f>International_Education_Costs!$G586+International_Education_Costs!$I586+International_Education_Costs!$J586+International_Education_Costs!$K586</f>
        <v>1180</v>
      </c>
    </row>
    <row r="587" spans="1:14" x14ac:dyDescent="0.3">
      <c r="A587" s="6" t="s">
        <v>80</v>
      </c>
      <c r="B587" s="6" t="s">
        <v>800</v>
      </c>
      <c r="C587" s="6" t="s">
        <v>801</v>
      </c>
      <c r="D587" s="6" t="s">
        <v>71</v>
      </c>
      <c r="E587" s="6" t="s">
        <v>75</v>
      </c>
      <c r="F587" s="6">
        <v>3</v>
      </c>
      <c r="G587" s="7">
        <v>1500</v>
      </c>
      <c r="H587" s="25">
        <v>72.3</v>
      </c>
      <c r="I587" s="17">
        <v>800</v>
      </c>
      <c r="J587" s="7">
        <v>160</v>
      </c>
      <c r="K587" s="7">
        <v>850</v>
      </c>
      <c r="L587" s="7">
        <v>0.92</v>
      </c>
      <c r="M587" s="7">
        <f>(International_Education_Costs!$G587+International_Education_Costs!$I587+International_Education_Costs!$J587+International_Education_Costs!$K587)*International_Education_Costs!$L587</f>
        <v>3045.2000000000003</v>
      </c>
      <c r="N587" s="7">
        <f>International_Education_Costs!$G587+International_Education_Costs!$I587+International_Education_Costs!$J587+International_Education_Costs!$K587</f>
        <v>3310</v>
      </c>
    </row>
    <row r="588" spans="1:14" x14ac:dyDescent="0.3">
      <c r="A588" s="4" t="s">
        <v>346</v>
      </c>
      <c r="B588" s="4" t="s">
        <v>802</v>
      </c>
      <c r="C588" s="4" t="s">
        <v>803</v>
      </c>
      <c r="D588" s="4" t="s">
        <v>63</v>
      </c>
      <c r="E588" s="4" t="s">
        <v>16</v>
      </c>
      <c r="F588" s="4">
        <v>2</v>
      </c>
      <c r="G588" s="5">
        <v>10000</v>
      </c>
      <c r="H588" s="24">
        <v>44.5</v>
      </c>
      <c r="I588" s="16">
        <v>450</v>
      </c>
      <c r="J588" s="5">
        <v>40</v>
      </c>
      <c r="K588" s="5">
        <v>400</v>
      </c>
      <c r="L588" s="5">
        <v>17.05</v>
      </c>
      <c r="M588" s="5">
        <f>(International_Education_Costs!$G588+International_Education_Costs!$I588+International_Education_Costs!$J588+International_Education_Costs!$K588)*International_Education_Costs!$L588</f>
        <v>185674.5</v>
      </c>
      <c r="N588" s="5">
        <f>International_Education_Costs!$G588+International_Education_Costs!$I588+International_Education_Costs!$J588+International_Education_Costs!$K588</f>
        <v>10890</v>
      </c>
    </row>
    <row r="589" spans="1:14" x14ac:dyDescent="0.3">
      <c r="A589" s="6" t="s">
        <v>184</v>
      </c>
      <c r="B589" s="6" t="s">
        <v>804</v>
      </c>
      <c r="C589" s="6" t="s">
        <v>805</v>
      </c>
      <c r="D589" s="6" t="s">
        <v>15</v>
      </c>
      <c r="E589" s="6" t="s">
        <v>122</v>
      </c>
      <c r="F589" s="6">
        <v>4</v>
      </c>
      <c r="G589" s="7">
        <v>3400</v>
      </c>
      <c r="H589" s="25">
        <v>67.8</v>
      </c>
      <c r="I589" s="17">
        <v>850</v>
      </c>
      <c r="J589" s="7">
        <v>80</v>
      </c>
      <c r="K589" s="7">
        <v>750</v>
      </c>
      <c r="L589" s="7">
        <v>0.92</v>
      </c>
      <c r="M589" s="7">
        <f>(International_Education_Costs!$G589+International_Education_Costs!$I589+International_Education_Costs!$J589+International_Education_Costs!$K589)*International_Education_Costs!$L589</f>
        <v>4673.6000000000004</v>
      </c>
      <c r="N589" s="7">
        <f>International_Education_Costs!$G589+International_Education_Costs!$I589+International_Education_Costs!$J589+International_Education_Costs!$K589</f>
        <v>5080</v>
      </c>
    </row>
    <row r="590" spans="1:14" x14ac:dyDescent="0.3">
      <c r="A590" s="4" t="s">
        <v>187</v>
      </c>
      <c r="B590" s="4" t="s">
        <v>806</v>
      </c>
      <c r="C590" s="4" t="s">
        <v>807</v>
      </c>
      <c r="D590" s="4" t="s">
        <v>301</v>
      </c>
      <c r="E590" s="4" t="s">
        <v>16</v>
      </c>
      <c r="F590" s="4">
        <v>2</v>
      </c>
      <c r="G590" s="5">
        <v>3500</v>
      </c>
      <c r="H590" s="24">
        <v>71.2</v>
      </c>
      <c r="I590" s="16">
        <v>1000</v>
      </c>
      <c r="J590" s="5">
        <v>120</v>
      </c>
      <c r="K590" s="5">
        <v>700</v>
      </c>
      <c r="L590" s="5">
        <v>0.92</v>
      </c>
      <c r="M590" s="5">
        <f>(International_Education_Costs!$G590+International_Education_Costs!$I590+International_Education_Costs!$J590+International_Education_Costs!$K590)*International_Education_Costs!$L590</f>
        <v>4894.4000000000005</v>
      </c>
      <c r="N590" s="5">
        <f>International_Education_Costs!$G590+International_Education_Costs!$I590+International_Education_Costs!$J590+International_Education_Costs!$K590</f>
        <v>5320</v>
      </c>
    </row>
    <row r="591" spans="1:14" x14ac:dyDescent="0.3">
      <c r="A591" s="6" t="s">
        <v>349</v>
      </c>
      <c r="B591" s="6" t="s">
        <v>808</v>
      </c>
      <c r="C591" s="6" t="s">
        <v>809</v>
      </c>
      <c r="D591" s="6" t="s">
        <v>435</v>
      </c>
      <c r="E591" s="6" t="s">
        <v>16</v>
      </c>
      <c r="F591" s="6">
        <v>2</v>
      </c>
      <c r="G591" s="7">
        <v>0</v>
      </c>
      <c r="H591" s="25">
        <v>59.8</v>
      </c>
      <c r="I591" s="17">
        <v>400</v>
      </c>
      <c r="J591" s="7">
        <v>100</v>
      </c>
      <c r="K591" s="7">
        <v>600</v>
      </c>
      <c r="L591" s="7">
        <v>0.92</v>
      </c>
      <c r="M591" s="7">
        <f>(International_Education_Costs!$G591+International_Education_Costs!$I591+International_Education_Costs!$J591+International_Education_Costs!$K591)*International_Education_Costs!$L591</f>
        <v>1012</v>
      </c>
      <c r="N591" s="7">
        <f>International_Education_Costs!$G591+International_Education_Costs!$I591+International_Education_Costs!$J591+International_Education_Costs!$K591</f>
        <v>1100</v>
      </c>
    </row>
    <row r="592" spans="1:14" x14ac:dyDescent="0.3">
      <c r="A592" s="4" t="s">
        <v>80</v>
      </c>
      <c r="B592" s="4" t="s">
        <v>810</v>
      </c>
      <c r="C592" s="4" t="s">
        <v>811</v>
      </c>
      <c r="D592" s="4" t="s">
        <v>697</v>
      </c>
      <c r="E592" s="4" t="s">
        <v>16</v>
      </c>
      <c r="F592" s="4">
        <v>2</v>
      </c>
      <c r="G592" s="5">
        <v>1500</v>
      </c>
      <c r="H592" s="24">
        <v>71.5</v>
      </c>
      <c r="I592" s="16">
        <v>780</v>
      </c>
      <c r="J592" s="5">
        <v>160</v>
      </c>
      <c r="K592" s="5">
        <v>850</v>
      </c>
      <c r="L592" s="5">
        <v>0.92</v>
      </c>
      <c r="M592" s="5">
        <f>(International_Education_Costs!$G592+International_Education_Costs!$I592+International_Education_Costs!$J592+International_Education_Costs!$K592)*International_Education_Costs!$L592</f>
        <v>3026.8</v>
      </c>
      <c r="N592" s="5">
        <f>International_Education_Costs!$G592+International_Education_Costs!$I592+International_Education_Costs!$J592+International_Education_Costs!$K592</f>
        <v>3290</v>
      </c>
    </row>
    <row r="593" spans="1:14" x14ac:dyDescent="0.3">
      <c r="A593" s="6" t="s">
        <v>346</v>
      </c>
      <c r="B593" s="6" t="s">
        <v>812</v>
      </c>
      <c r="C593" s="6" t="s">
        <v>813</v>
      </c>
      <c r="D593" s="6" t="s">
        <v>71</v>
      </c>
      <c r="E593" s="6" t="s">
        <v>75</v>
      </c>
      <c r="F593" s="6">
        <v>4</v>
      </c>
      <c r="G593" s="7">
        <v>11000</v>
      </c>
      <c r="H593" s="25">
        <v>46.7</v>
      </c>
      <c r="I593" s="17">
        <v>480</v>
      </c>
      <c r="J593" s="7">
        <v>40</v>
      </c>
      <c r="K593" s="7">
        <v>400</v>
      </c>
      <c r="L593" s="7">
        <v>17.05</v>
      </c>
      <c r="M593" s="7">
        <f>(International_Education_Costs!$G593+International_Education_Costs!$I593+International_Education_Costs!$J593+International_Education_Costs!$K593)*International_Education_Costs!$L593</f>
        <v>203236</v>
      </c>
      <c r="N593" s="7">
        <f>International_Education_Costs!$G593+International_Education_Costs!$I593+International_Education_Costs!$J593+International_Education_Costs!$K593</f>
        <v>11920</v>
      </c>
    </row>
    <row r="594" spans="1:14" x14ac:dyDescent="0.3">
      <c r="A594" s="4" t="s">
        <v>184</v>
      </c>
      <c r="B594" s="4" t="s">
        <v>814</v>
      </c>
      <c r="C594" s="4" t="s">
        <v>815</v>
      </c>
      <c r="D594" s="4" t="s">
        <v>40</v>
      </c>
      <c r="E594" s="4" t="s">
        <v>16</v>
      </c>
      <c r="F594" s="4">
        <v>2</v>
      </c>
      <c r="G594" s="5">
        <v>2800</v>
      </c>
      <c r="H594" s="24">
        <v>64.5</v>
      </c>
      <c r="I594" s="16">
        <v>700</v>
      </c>
      <c r="J594" s="5">
        <v>80</v>
      </c>
      <c r="K594" s="5">
        <v>750</v>
      </c>
      <c r="L594" s="5">
        <v>0.92</v>
      </c>
      <c r="M594" s="5">
        <f>(International_Education_Costs!$G594+International_Education_Costs!$I594+International_Education_Costs!$J594+International_Education_Costs!$K594)*International_Education_Costs!$L594</f>
        <v>3983.6000000000004</v>
      </c>
      <c r="N594" s="5">
        <f>International_Education_Costs!$G594+International_Education_Costs!$I594+International_Education_Costs!$J594+International_Education_Costs!$K594</f>
        <v>4330</v>
      </c>
    </row>
    <row r="595" spans="1:14" x14ac:dyDescent="0.3">
      <c r="A595" s="6" t="s">
        <v>187</v>
      </c>
      <c r="B595" s="6" t="s">
        <v>816</v>
      </c>
      <c r="C595" s="6" t="s">
        <v>817</v>
      </c>
      <c r="D595" s="6" t="s">
        <v>208</v>
      </c>
      <c r="E595" s="6" t="s">
        <v>122</v>
      </c>
      <c r="F595" s="6">
        <v>4</v>
      </c>
      <c r="G595" s="7">
        <v>3200</v>
      </c>
      <c r="H595" s="25">
        <v>67.8</v>
      </c>
      <c r="I595" s="17">
        <v>800</v>
      </c>
      <c r="J595" s="7">
        <v>120</v>
      </c>
      <c r="K595" s="7">
        <v>700</v>
      </c>
      <c r="L595" s="7">
        <v>0.92</v>
      </c>
      <c r="M595" s="7">
        <f>(International_Education_Costs!$G595+International_Education_Costs!$I595+International_Education_Costs!$J595+International_Education_Costs!$K595)*International_Education_Costs!$L595</f>
        <v>4434.4000000000005</v>
      </c>
      <c r="N595" s="7">
        <f>International_Education_Costs!$G595+International_Education_Costs!$I595+International_Education_Costs!$J595+International_Education_Costs!$K595</f>
        <v>4820</v>
      </c>
    </row>
    <row r="596" spans="1:14" x14ac:dyDescent="0.3">
      <c r="A596" s="4" t="s">
        <v>349</v>
      </c>
      <c r="B596" s="4" t="s">
        <v>818</v>
      </c>
      <c r="C596" s="4" t="s">
        <v>819</v>
      </c>
      <c r="D596" s="4" t="s">
        <v>216</v>
      </c>
      <c r="E596" s="4" t="s">
        <v>75</v>
      </c>
      <c r="F596" s="4">
        <v>4</v>
      </c>
      <c r="G596" s="5">
        <v>0</v>
      </c>
      <c r="H596" s="24">
        <v>58.9</v>
      </c>
      <c r="I596" s="16">
        <v>380</v>
      </c>
      <c r="J596" s="5">
        <v>100</v>
      </c>
      <c r="K596" s="5">
        <v>600</v>
      </c>
      <c r="L596" s="5">
        <v>0.92</v>
      </c>
      <c r="M596" s="5">
        <f>(International_Education_Costs!$G596+International_Education_Costs!$I596+International_Education_Costs!$J596+International_Education_Costs!$K596)*International_Education_Costs!$L596</f>
        <v>993.6</v>
      </c>
      <c r="N596" s="5">
        <f>International_Education_Costs!$G596+International_Education_Costs!$I596+International_Education_Costs!$J596+International_Education_Costs!$K596</f>
        <v>1080</v>
      </c>
    </row>
    <row r="597" spans="1:14" x14ac:dyDescent="0.3">
      <c r="A597" s="6" t="s">
        <v>80</v>
      </c>
      <c r="B597" s="6" t="s">
        <v>820</v>
      </c>
      <c r="C597" s="6" t="s">
        <v>821</v>
      </c>
      <c r="D597" s="6" t="s">
        <v>20</v>
      </c>
      <c r="E597" s="6" t="s">
        <v>16</v>
      </c>
      <c r="F597" s="6">
        <v>2</v>
      </c>
      <c r="G597" s="7">
        <v>1500</v>
      </c>
      <c r="H597" s="25">
        <v>69.400000000000006</v>
      </c>
      <c r="I597" s="17">
        <v>720</v>
      </c>
      <c r="J597" s="7">
        <v>160</v>
      </c>
      <c r="K597" s="7">
        <v>850</v>
      </c>
      <c r="L597" s="7">
        <v>0.92</v>
      </c>
      <c r="M597" s="7">
        <f>(International_Education_Costs!$G597+International_Education_Costs!$I597+International_Education_Costs!$J597+International_Education_Costs!$K597)*International_Education_Costs!$L597</f>
        <v>2971.6</v>
      </c>
      <c r="N597" s="7">
        <f>International_Education_Costs!$G597+International_Education_Costs!$I597+International_Education_Costs!$J597+International_Education_Costs!$K597</f>
        <v>3230</v>
      </c>
    </row>
    <row r="598" spans="1:14" x14ac:dyDescent="0.3">
      <c r="A598" s="4" t="s">
        <v>346</v>
      </c>
      <c r="B598" s="4" t="s">
        <v>822</v>
      </c>
      <c r="C598" s="4" t="s">
        <v>823</v>
      </c>
      <c r="D598" s="4" t="s">
        <v>63</v>
      </c>
      <c r="E598" s="4" t="s">
        <v>16</v>
      </c>
      <c r="F598" s="4">
        <v>2</v>
      </c>
      <c r="G598" s="5">
        <v>3500</v>
      </c>
      <c r="H598" s="24">
        <v>43.2</v>
      </c>
      <c r="I598" s="16">
        <v>400</v>
      </c>
      <c r="J598" s="5">
        <v>40</v>
      </c>
      <c r="K598" s="5">
        <v>400</v>
      </c>
      <c r="L598" s="5">
        <v>17.05</v>
      </c>
      <c r="M598" s="5">
        <f>(International_Education_Costs!$G598+International_Education_Costs!$I598+International_Education_Costs!$J598+International_Education_Costs!$K598)*International_Education_Costs!$L598</f>
        <v>73997</v>
      </c>
      <c r="N598" s="5">
        <f>International_Education_Costs!$G598+International_Education_Costs!$I598+International_Education_Costs!$J598+International_Education_Costs!$K598</f>
        <v>4340</v>
      </c>
    </row>
    <row r="599" spans="1:14" x14ac:dyDescent="0.3">
      <c r="A599" s="6" t="s">
        <v>184</v>
      </c>
      <c r="B599" s="6" t="s">
        <v>824</v>
      </c>
      <c r="C599" s="6" t="s">
        <v>825</v>
      </c>
      <c r="D599" s="6" t="s">
        <v>137</v>
      </c>
      <c r="E599" s="6" t="s">
        <v>16</v>
      </c>
      <c r="F599" s="6">
        <v>2</v>
      </c>
      <c r="G599" s="7">
        <v>2900</v>
      </c>
      <c r="H599" s="25">
        <v>63.2</v>
      </c>
      <c r="I599" s="17">
        <v>650</v>
      </c>
      <c r="J599" s="7">
        <v>80</v>
      </c>
      <c r="K599" s="7">
        <v>750</v>
      </c>
      <c r="L599" s="7">
        <v>0.92</v>
      </c>
      <c r="M599" s="7">
        <f>(International_Education_Costs!$G599+International_Education_Costs!$I599+International_Education_Costs!$J599+International_Education_Costs!$K599)*International_Education_Costs!$L599</f>
        <v>4029.6000000000004</v>
      </c>
      <c r="N599" s="7">
        <f>International_Education_Costs!$G599+International_Education_Costs!$I599+International_Education_Costs!$J599+International_Education_Costs!$K599</f>
        <v>4380</v>
      </c>
    </row>
    <row r="600" spans="1:14" x14ac:dyDescent="0.3">
      <c r="A600" s="4" t="s">
        <v>187</v>
      </c>
      <c r="B600" s="4" t="s">
        <v>826</v>
      </c>
      <c r="C600" s="4" t="s">
        <v>827</v>
      </c>
      <c r="D600" s="4" t="s">
        <v>63</v>
      </c>
      <c r="E600" s="4" t="s">
        <v>16</v>
      </c>
      <c r="F600" s="4">
        <v>2</v>
      </c>
      <c r="G600" s="5">
        <v>3300</v>
      </c>
      <c r="H600" s="24">
        <v>68.900000000000006</v>
      </c>
      <c r="I600" s="16">
        <v>850</v>
      </c>
      <c r="J600" s="5">
        <v>120</v>
      </c>
      <c r="K600" s="5">
        <v>700</v>
      </c>
      <c r="L600" s="5">
        <v>0.92</v>
      </c>
      <c r="M600" s="5">
        <f>(International_Education_Costs!$G600+International_Education_Costs!$I600+International_Education_Costs!$J600+International_Education_Costs!$K600)*International_Education_Costs!$L600</f>
        <v>4572.4000000000005</v>
      </c>
      <c r="N600" s="5">
        <f>International_Education_Costs!$G600+International_Education_Costs!$I600+International_Education_Costs!$J600+International_Education_Costs!$K600</f>
        <v>4970</v>
      </c>
    </row>
    <row r="601" spans="1:14" x14ac:dyDescent="0.3">
      <c r="A601" s="6" t="s">
        <v>349</v>
      </c>
      <c r="B601" s="6" t="s">
        <v>828</v>
      </c>
      <c r="C601" s="6" t="s">
        <v>829</v>
      </c>
      <c r="D601" s="6" t="s">
        <v>457</v>
      </c>
      <c r="E601" s="6" t="s">
        <v>16</v>
      </c>
      <c r="F601" s="6">
        <v>2</v>
      </c>
      <c r="G601" s="7">
        <v>0</v>
      </c>
      <c r="H601" s="25">
        <v>61.2</v>
      </c>
      <c r="I601" s="17">
        <v>420</v>
      </c>
      <c r="J601" s="7">
        <v>100</v>
      </c>
      <c r="K601" s="7">
        <v>600</v>
      </c>
      <c r="L601" s="7">
        <v>0.92</v>
      </c>
      <c r="M601" s="7">
        <f>(International_Education_Costs!$G601+International_Education_Costs!$I601+International_Education_Costs!$J601+International_Education_Costs!$K601)*International_Education_Costs!$L601</f>
        <v>1030.4000000000001</v>
      </c>
      <c r="N601" s="7">
        <f>International_Education_Costs!$G601+International_Education_Costs!$I601+International_Education_Costs!$J601+International_Education_Costs!$K601</f>
        <v>1120</v>
      </c>
    </row>
    <row r="602" spans="1:14" x14ac:dyDescent="0.3">
      <c r="A602" s="4" t="s">
        <v>80</v>
      </c>
      <c r="B602" s="4" t="s">
        <v>830</v>
      </c>
      <c r="C602" s="4" t="s">
        <v>831</v>
      </c>
      <c r="D602" s="4" t="s">
        <v>93</v>
      </c>
      <c r="E602" s="4" t="s">
        <v>122</v>
      </c>
      <c r="F602" s="4">
        <v>4</v>
      </c>
      <c r="G602" s="5">
        <v>1500</v>
      </c>
      <c r="H602" s="24">
        <v>68.7</v>
      </c>
      <c r="I602" s="16">
        <v>700</v>
      </c>
      <c r="J602" s="5">
        <v>160</v>
      </c>
      <c r="K602" s="5">
        <v>850</v>
      </c>
      <c r="L602" s="5">
        <v>0.92</v>
      </c>
      <c r="M602" s="5">
        <f>(International_Education_Costs!$G602+International_Education_Costs!$I602+International_Education_Costs!$J602+International_Education_Costs!$K602)*International_Education_Costs!$L602</f>
        <v>2953.2000000000003</v>
      </c>
      <c r="N602" s="5">
        <f>International_Education_Costs!$G602+International_Education_Costs!$I602+International_Education_Costs!$J602+International_Education_Costs!$K602</f>
        <v>3210</v>
      </c>
    </row>
    <row r="603" spans="1:14" x14ac:dyDescent="0.3">
      <c r="A603" s="6" t="s">
        <v>346</v>
      </c>
      <c r="B603" s="6" t="s">
        <v>832</v>
      </c>
      <c r="C603" s="6" t="s">
        <v>833</v>
      </c>
      <c r="D603" s="6" t="s">
        <v>223</v>
      </c>
      <c r="E603" s="6" t="s">
        <v>75</v>
      </c>
      <c r="F603" s="6">
        <v>4</v>
      </c>
      <c r="G603" s="7">
        <v>9500</v>
      </c>
      <c r="H603" s="25">
        <v>45.4</v>
      </c>
      <c r="I603" s="17">
        <v>550</v>
      </c>
      <c r="J603" s="7">
        <v>40</v>
      </c>
      <c r="K603" s="7">
        <v>400</v>
      </c>
      <c r="L603" s="7">
        <v>17.05</v>
      </c>
      <c r="M603" s="7">
        <f>(International_Education_Costs!$G603+International_Education_Costs!$I603+International_Education_Costs!$J603+International_Education_Costs!$K603)*International_Education_Costs!$L603</f>
        <v>178854.5</v>
      </c>
      <c r="N603" s="7">
        <f>International_Education_Costs!$G603+International_Education_Costs!$I603+International_Education_Costs!$J603+International_Education_Costs!$K603</f>
        <v>10490</v>
      </c>
    </row>
    <row r="604" spans="1:14" x14ac:dyDescent="0.3">
      <c r="A604" s="4" t="s">
        <v>184</v>
      </c>
      <c r="B604" s="4" t="s">
        <v>834</v>
      </c>
      <c r="C604" s="4" t="s">
        <v>835</v>
      </c>
      <c r="D604" s="4" t="s">
        <v>20</v>
      </c>
      <c r="E604" s="4" t="s">
        <v>122</v>
      </c>
      <c r="F604" s="4">
        <v>4</v>
      </c>
      <c r="G604" s="5">
        <v>3100</v>
      </c>
      <c r="H604" s="24">
        <v>62.1</v>
      </c>
      <c r="I604" s="16">
        <v>600</v>
      </c>
      <c r="J604" s="5">
        <v>80</v>
      </c>
      <c r="K604" s="5">
        <v>750</v>
      </c>
      <c r="L604" s="5">
        <v>0.92</v>
      </c>
      <c r="M604" s="5">
        <f>(International_Education_Costs!$G604+International_Education_Costs!$I604+International_Education_Costs!$J604+International_Education_Costs!$K604)*International_Education_Costs!$L604</f>
        <v>4167.6000000000004</v>
      </c>
      <c r="N604" s="5">
        <f>International_Education_Costs!$G604+International_Education_Costs!$I604+International_Education_Costs!$J604+International_Education_Costs!$K604</f>
        <v>4530</v>
      </c>
    </row>
    <row r="605" spans="1:14" x14ac:dyDescent="0.3">
      <c r="A605" s="6" t="s">
        <v>187</v>
      </c>
      <c r="B605" s="6" t="s">
        <v>836</v>
      </c>
      <c r="C605" s="6" t="s">
        <v>837</v>
      </c>
      <c r="D605" s="6" t="s">
        <v>40</v>
      </c>
      <c r="E605" s="6" t="s">
        <v>16</v>
      </c>
      <c r="F605" s="6">
        <v>2</v>
      </c>
      <c r="G605" s="7">
        <v>3400</v>
      </c>
      <c r="H605" s="25">
        <v>69.5</v>
      </c>
      <c r="I605" s="17">
        <v>900</v>
      </c>
      <c r="J605" s="7">
        <v>120</v>
      </c>
      <c r="K605" s="7">
        <v>700</v>
      </c>
      <c r="L605" s="7">
        <v>0.92</v>
      </c>
      <c r="M605" s="7">
        <f>(International_Education_Costs!$G605+International_Education_Costs!$I605+International_Education_Costs!$J605+International_Education_Costs!$K605)*International_Education_Costs!$L605</f>
        <v>4710.4000000000005</v>
      </c>
      <c r="N605" s="7">
        <f>International_Education_Costs!$G605+International_Education_Costs!$I605+International_Education_Costs!$J605+International_Education_Costs!$K605</f>
        <v>5120</v>
      </c>
    </row>
    <row r="606" spans="1:14" x14ac:dyDescent="0.3">
      <c r="A606" s="4" t="s">
        <v>349</v>
      </c>
      <c r="B606" s="4" t="s">
        <v>838</v>
      </c>
      <c r="C606" s="4" t="s">
        <v>839</v>
      </c>
      <c r="D606" s="4" t="s">
        <v>840</v>
      </c>
      <c r="E606" s="4" t="s">
        <v>16</v>
      </c>
      <c r="F606" s="4">
        <v>2</v>
      </c>
      <c r="G606" s="5">
        <v>0</v>
      </c>
      <c r="H606" s="24">
        <v>60.4</v>
      </c>
      <c r="I606" s="16">
        <v>450</v>
      </c>
      <c r="J606" s="5">
        <v>100</v>
      </c>
      <c r="K606" s="5">
        <v>600</v>
      </c>
      <c r="L606" s="5">
        <v>0.92</v>
      </c>
      <c r="M606" s="5">
        <f>(International_Education_Costs!$G606+International_Education_Costs!$I606+International_Education_Costs!$J606+International_Education_Costs!$K606)*International_Education_Costs!$L606</f>
        <v>1058</v>
      </c>
      <c r="N606" s="5">
        <f>International_Education_Costs!$G606+International_Education_Costs!$I606+International_Education_Costs!$J606+International_Education_Costs!$K606</f>
        <v>1150</v>
      </c>
    </row>
    <row r="607" spans="1:14" x14ac:dyDescent="0.3">
      <c r="A607" s="6" t="s">
        <v>80</v>
      </c>
      <c r="B607" s="6" t="s">
        <v>841</v>
      </c>
      <c r="C607" s="6" t="s">
        <v>842</v>
      </c>
      <c r="D607" s="6" t="s">
        <v>242</v>
      </c>
      <c r="E607" s="6" t="s">
        <v>75</v>
      </c>
      <c r="F607" s="6">
        <v>3</v>
      </c>
      <c r="G607" s="7">
        <v>1500</v>
      </c>
      <c r="H607" s="25">
        <v>70.2</v>
      </c>
      <c r="I607" s="17">
        <v>800</v>
      </c>
      <c r="J607" s="7">
        <v>160</v>
      </c>
      <c r="K607" s="7">
        <v>850</v>
      </c>
      <c r="L607" s="7">
        <v>0.92</v>
      </c>
      <c r="M607" s="7">
        <f>(International_Education_Costs!$G607+International_Education_Costs!$I607+International_Education_Costs!$J607+International_Education_Costs!$K607)*International_Education_Costs!$L607</f>
        <v>3045.2000000000003</v>
      </c>
      <c r="N607" s="7">
        <f>International_Education_Costs!$G607+International_Education_Costs!$I607+International_Education_Costs!$J607+International_Education_Costs!$K607</f>
        <v>3310</v>
      </c>
    </row>
    <row r="608" spans="1:14" x14ac:dyDescent="0.3">
      <c r="A608" s="4" t="s">
        <v>346</v>
      </c>
      <c r="B608" s="4" t="s">
        <v>843</v>
      </c>
      <c r="C608" s="4" t="s">
        <v>844</v>
      </c>
      <c r="D608" s="4" t="s">
        <v>501</v>
      </c>
      <c r="E608" s="4" t="s">
        <v>16</v>
      </c>
      <c r="F608" s="4">
        <v>2</v>
      </c>
      <c r="G608" s="5">
        <v>2800</v>
      </c>
      <c r="H608" s="24">
        <v>42.8</v>
      </c>
      <c r="I608" s="16">
        <v>380</v>
      </c>
      <c r="J608" s="5">
        <v>40</v>
      </c>
      <c r="K608" s="5">
        <v>400</v>
      </c>
      <c r="L608" s="5">
        <v>17.05</v>
      </c>
      <c r="M608" s="5">
        <f>(International_Education_Costs!$G608+International_Education_Costs!$I608+International_Education_Costs!$J608+International_Education_Costs!$K608)*International_Education_Costs!$L608</f>
        <v>61721</v>
      </c>
      <c r="N608" s="5">
        <f>International_Education_Costs!$G608+International_Education_Costs!$I608+International_Education_Costs!$J608+International_Education_Costs!$K608</f>
        <v>3620</v>
      </c>
    </row>
    <row r="609" spans="1:14" x14ac:dyDescent="0.3">
      <c r="A609" s="6" t="s">
        <v>339</v>
      </c>
      <c r="B609" s="6" t="s">
        <v>340</v>
      </c>
      <c r="C609" s="6" t="s">
        <v>341</v>
      </c>
      <c r="D609" s="6" t="s">
        <v>63</v>
      </c>
      <c r="E609" s="6" t="s">
        <v>16</v>
      </c>
      <c r="F609" s="6">
        <v>2</v>
      </c>
      <c r="G609" s="7">
        <v>1500</v>
      </c>
      <c r="H609" s="25">
        <v>51.2</v>
      </c>
      <c r="I609" s="17">
        <v>600</v>
      </c>
      <c r="J609" s="7">
        <v>90</v>
      </c>
      <c r="K609" s="7">
        <v>500</v>
      </c>
      <c r="L609" s="7">
        <v>28.5</v>
      </c>
      <c r="M609" s="7">
        <f>(International_Education_Costs!$G609+International_Education_Costs!$I609+International_Education_Costs!$J609+International_Education_Costs!$K609)*International_Education_Costs!$L609</f>
        <v>76665</v>
      </c>
      <c r="N609" s="7">
        <f>International_Education_Costs!$G609+International_Education_Costs!$I609+International_Education_Costs!$J609+International_Education_Costs!$K609</f>
        <v>2690</v>
      </c>
    </row>
    <row r="610" spans="1:14" x14ac:dyDescent="0.3">
      <c r="A610" s="4" t="s">
        <v>349</v>
      </c>
      <c r="B610" s="4" t="s">
        <v>350</v>
      </c>
      <c r="C610" s="4" t="s">
        <v>845</v>
      </c>
      <c r="D610" s="4" t="s">
        <v>20</v>
      </c>
      <c r="E610" s="4" t="s">
        <v>16</v>
      </c>
      <c r="F610" s="4">
        <v>2</v>
      </c>
      <c r="G610" s="5">
        <v>0</v>
      </c>
      <c r="H610" s="24">
        <v>65.8</v>
      </c>
      <c r="I610" s="16">
        <v>650</v>
      </c>
      <c r="J610" s="5">
        <v>100</v>
      </c>
      <c r="K610" s="5">
        <v>600</v>
      </c>
      <c r="L610" s="5">
        <v>0.92</v>
      </c>
      <c r="M610" s="5">
        <f>(International_Education_Costs!$G610+International_Education_Costs!$I610+International_Education_Costs!$J610+International_Education_Costs!$K610)*International_Education_Costs!$L610</f>
        <v>1242</v>
      </c>
      <c r="N610" s="5">
        <f>International_Education_Costs!$G610+International_Education_Costs!$I610+International_Education_Costs!$J610+International_Education_Costs!$K610</f>
        <v>1350</v>
      </c>
    </row>
    <row r="611" spans="1:14" x14ac:dyDescent="0.3">
      <c r="A611" s="6" t="s">
        <v>84</v>
      </c>
      <c r="B611" s="6" t="s">
        <v>846</v>
      </c>
      <c r="C611" s="6" t="s">
        <v>86</v>
      </c>
      <c r="D611" s="6" t="s">
        <v>40</v>
      </c>
      <c r="E611" s="6" t="s">
        <v>122</v>
      </c>
      <c r="F611" s="6">
        <v>4</v>
      </c>
      <c r="G611" s="7">
        <v>3800</v>
      </c>
      <c r="H611" s="25">
        <v>76.5</v>
      </c>
      <c r="I611" s="17">
        <v>950</v>
      </c>
      <c r="J611" s="7">
        <v>180</v>
      </c>
      <c r="K611" s="7">
        <v>800</v>
      </c>
      <c r="L611" s="7">
        <v>0.92</v>
      </c>
      <c r="M611" s="7">
        <f>(International_Education_Costs!$G611+International_Education_Costs!$I611+International_Education_Costs!$J611+International_Education_Costs!$K611)*International_Education_Costs!$L611</f>
        <v>5271.6</v>
      </c>
      <c r="N611" s="7">
        <f>International_Education_Costs!$G611+International_Education_Costs!$I611+International_Education_Costs!$J611+International_Education_Costs!$K611</f>
        <v>5730</v>
      </c>
    </row>
    <row r="612" spans="1:14" x14ac:dyDescent="0.3">
      <c r="A612" s="4" t="s">
        <v>847</v>
      </c>
      <c r="B612" s="4" t="s">
        <v>848</v>
      </c>
      <c r="C612" s="4" t="s">
        <v>849</v>
      </c>
      <c r="D612" s="4" t="s">
        <v>208</v>
      </c>
      <c r="E612" s="4" t="s">
        <v>16</v>
      </c>
      <c r="F612" s="4">
        <v>2</v>
      </c>
      <c r="G612" s="5">
        <v>6500</v>
      </c>
      <c r="H612" s="24">
        <v>53.4</v>
      </c>
      <c r="I612" s="16">
        <v>500</v>
      </c>
      <c r="J612" s="5">
        <v>140</v>
      </c>
      <c r="K612" s="5">
        <v>450</v>
      </c>
      <c r="L612" s="5">
        <v>350.25</v>
      </c>
      <c r="M612" s="5">
        <f>(International_Education_Costs!$G612+International_Education_Costs!$I612+International_Education_Costs!$J612+International_Education_Costs!$K612)*International_Education_Costs!$L612</f>
        <v>2658397.5</v>
      </c>
      <c r="N612" s="5">
        <f>International_Education_Costs!$G612+International_Education_Costs!$I612+International_Education_Costs!$J612+International_Education_Costs!$K612</f>
        <v>7590</v>
      </c>
    </row>
    <row r="613" spans="1:14" x14ac:dyDescent="0.3">
      <c r="A613" s="6" t="s">
        <v>342</v>
      </c>
      <c r="B613" s="6" t="s">
        <v>343</v>
      </c>
      <c r="C613" s="6" t="s">
        <v>344</v>
      </c>
      <c r="D613" s="6" t="s">
        <v>15</v>
      </c>
      <c r="E613" s="6" t="s">
        <v>75</v>
      </c>
      <c r="F613" s="6">
        <v>4</v>
      </c>
      <c r="G613" s="7">
        <v>5500</v>
      </c>
      <c r="H613" s="25">
        <v>62.3</v>
      </c>
      <c r="I613" s="17">
        <v>600</v>
      </c>
      <c r="J613" s="7">
        <v>160</v>
      </c>
      <c r="K613" s="7">
        <v>400</v>
      </c>
      <c r="L613" s="7">
        <v>95.5</v>
      </c>
      <c r="M613" s="7">
        <f>(International_Education_Costs!$G613+International_Education_Costs!$I613+International_Education_Costs!$J613+International_Education_Costs!$K613)*International_Education_Costs!$L613</f>
        <v>636030</v>
      </c>
      <c r="N613" s="7">
        <f>International_Education_Costs!$G613+International_Education_Costs!$I613+International_Education_Costs!$J613+International_Education_Costs!$K613</f>
        <v>6660</v>
      </c>
    </row>
    <row r="614" spans="1:14" x14ac:dyDescent="0.3">
      <c r="A614" s="4" t="s">
        <v>339</v>
      </c>
      <c r="B614" s="4" t="s">
        <v>850</v>
      </c>
      <c r="C614" s="4" t="s">
        <v>851</v>
      </c>
      <c r="D614" s="4" t="s">
        <v>252</v>
      </c>
      <c r="E614" s="4" t="s">
        <v>16</v>
      </c>
      <c r="F614" s="4">
        <v>2</v>
      </c>
      <c r="G614" s="5">
        <v>1200</v>
      </c>
      <c r="H614" s="24">
        <v>48.5</v>
      </c>
      <c r="I614" s="16">
        <v>450</v>
      </c>
      <c r="J614" s="5">
        <v>90</v>
      </c>
      <c r="K614" s="5">
        <v>500</v>
      </c>
      <c r="L614" s="5">
        <v>28.5</v>
      </c>
      <c r="M614" s="5">
        <f>(International_Education_Costs!$G614+International_Education_Costs!$I614+International_Education_Costs!$J614+International_Education_Costs!$K614)*International_Education_Costs!$L614</f>
        <v>63840</v>
      </c>
      <c r="N614" s="5">
        <f>International_Education_Costs!$G614+International_Education_Costs!$I614+International_Education_Costs!$J614+International_Education_Costs!$K614</f>
        <v>2240</v>
      </c>
    </row>
    <row r="615" spans="1:14" x14ac:dyDescent="0.3">
      <c r="A615" s="6" t="s">
        <v>349</v>
      </c>
      <c r="B615" s="6" t="s">
        <v>777</v>
      </c>
      <c r="C615" s="6" t="s">
        <v>852</v>
      </c>
      <c r="D615" s="6" t="s">
        <v>216</v>
      </c>
      <c r="E615" s="6" t="s">
        <v>122</v>
      </c>
      <c r="F615" s="6">
        <v>4</v>
      </c>
      <c r="G615" s="7">
        <v>0</v>
      </c>
      <c r="H615" s="25">
        <v>62.4</v>
      </c>
      <c r="I615" s="17">
        <v>500</v>
      </c>
      <c r="J615" s="7">
        <v>100</v>
      </c>
      <c r="K615" s="7">
        <v>600</v>
      </c>
      <c r="L615" s="7">
        <v>0.92</v>
      </c>
      <c r="M615" s="7">
        <f>(International_Education_Costs!$G615+International_Education_Costs!$I615+International_Education_Costs!$J615+International_Education_Costs!$K615)*International_Education_Costs!$L615</f>
        <v>1104</v>
      </c>
      <c r="N615" s="7">
        <f>International_Education_Costs!$G615+International_Education_Costs!$I615+International_Education_Costs!$J615+International_Education_Costs!$K615</f>
        <v>1200</v>
      </c>
    </row>
    <row r="616" spans="1:14" x14ac:dyDescent="0.3">
      <c r="A616" s="4" t="s">
        <v>84</v>
      </c>
      <c r="B616" s="4" t="s">
        <v>853</v>
      </c>
      <c r="C616" s="4" t="s">
        <v>854</v>
      </c>
      <c r="D616" s="4" t="s">
        <v>15</v>
      </c>
      <c r="E616" s="4" t="s">
        <v>16</v>
      </c>
      <c r="F616" s="4">
        <v>2</v>
      </c>
      <c r="G616" s="5">
        <v>3500</v>
      </c>
      <c r="H616" s="24">
        <v>72.8</v>
      </c>
      <c r="I616" s="16">
        <v>850</v>
      </c>
      <c r="J616" s="5">
        <v>180</v>
      </c>
      <c r="K616" s="5">
        <v>800</v>
      </c>
      <c r="L616" s="5">
        <v>0.92</v>
      </c>
      <c r="M616" s="5">
        <f>(International_Education_Costs!$G616+International_Education_Costs!$I616+International_Education_Costs!$J616+International_Education_Costs!$K616)*International_Education_Costs!$L616</f>
        <v>4903.6000000000004</v>
      </c>
      <c r="N616" s="5">
        <f>International_Education_Costs!$G616+International_Education_Costs!$I616+International_Education_Costs!$J616+International_Education_Costs!$K616</f>
        <v>5330</v>
      </c>
    </row>
    <row r="617" spans="1:14" x14ac:dyDescent="0.3">
      <c r="A617" s="6" t="s">
        <v>847</v>
      </c>
      <c r="B617" s="6" t="s">
        <v>855</v>
      </c>
      <c r="C617" s="6" t="s">
        <v>856</v>
      </c>
      <c r="D617" s="6" t="s">
        <v>697</v>
      </c>
      <c r="E617" s="6" t="s">
        <v>75</v>
      </c>
      <c r="F617" s="6">
        <v>3</v>
      </c>
      <c r="G617" s="7">
        <v>5800</v>
      </c>
      <c r="H617" s="25">
        <v>48.9</v>
      </c>
      <c r="I617" s="17">
        <v>400</v>
      </c>
      <c r="J617" s="7">
        <v>140</v>
      </c>
      <c r="K617" s="7">
        <v>450</v>
      </c>
      <c r="L617" s="7">
        <v>350.25</v>
      </c>
      <c r="M617" s="7">
        <f>(International_Education_Costs!$G617+International_Education_Costs!$I617+International_Education_Costs!$J617+International_Education_Costs!$K617)*International_Education_Costs!$L617</f>
        <v>2378197.5</v>
      </c>
      <c r="N617" s="7">
        <f>International_Education_Costs!$G617+International_Education_Costs!$I617+International_Education_Costs!$J617+International_Education_Costs!$K617</f>
        <v>6790</v>
      </c>
    </row>
    <row r="618" spans="1:14" x14ac:dyDescent="0.3">
      <c r="A618" s="4" t="s">
        <v>342</v>
      </c>
      <c r="B618" s="4" t="s">
        <v>857</v>
      </c>
      <c r="C618" s="4" t="s">
        <v>858</v>
      </c>
      <c r="D618" s="4" t="s">
        <v>20</v>
      </c>
      <c r="E618" s="4" t="s">
        <v>16</v>
      </c>
      <c r="F618" s="4">
        <v>2</v>
      </c>
      <c r="G618" s="5">
        <v>5000</v>
      </c>
      <c r="H618" s="24">
        <v>60.1</v>
      </c>
      <c r="I618" s="16">
        <v>550</v>
      </c>
      <c r="J618" s="5">
        <v>160</v>
      </c>
      <c r="K618" s="5">
        <v>400</v>
      </c>
      <c r="L618" s="5">
        <v>95.5</v>
      </c>
      <c r="M618" s="5">
        <f>(International_Education_Costs!$G618+International_Education_Costs!$I618+International_Education_Costs!$J618+International_Education_Costs!$K618)*International_Education_Costs!$L618</f>
        <v>583505</v>
      </c>
      <c r="N618" s="5">
        <f>International_Education_Costs!$G618+International_Education_Costs!$I618+International_Education_Costs!$J618+International_Education_Costs!$K618</f>
        <v>6110</v>
      </c>
    </row>
    <row r="619" spans="1:14" x14ac:dyDescent="0.3">
      <c r="A619" s="6" t="s">
        <v>339</v>
      </c>
      <c r="B619" s="6" t="s">
        <v>859</v>
      </c>
      <c r="C619" s="6" t="s">
        <v>860</v>
      </c>
      <c r="D619" s="6" t="s">
        <v>115</v>
      </c>
      <c r="E619" s="6" t="s">
        <v>122</v>
      </c>
      <c r="F619" s="6">
        <v>4</v>
      </c>
      <c r="G619" s="7">
        <v>1300</v>
      </c>
      <c r="H619" s="25">
        <v>47.8</v>
      </c>
      <c r="I619" s="17">
        <v>400</v>
      </c>
      <c r="J619" s="7">
        <v>90</v>
      </c>
      <c r="K619" s="7">
        <v>500</v>
      </c>
      <c r="L619" s="7">
        <v>28.5</v>
      </c>
      <c r="M619" s="7">
        <f>(International_Education_Costs!$G619+International_Education_Costs!$I619+International_Education_Costs!$J619+International_Education_Costs!$K619)*International_Education_Costs!$L619</f>
        <v>65265</v>
      </c>
      <c r="N619" s="7">
        <f>International_Education_Costs!$G619+International_Education_Costs!$I619+International_Education_Costs!$J619+International_Education_Costs!$K619</f>
        <v>2290</v>
      </c>
    </row>
    <row r="620" spans="1:14" x14ac:dyDescent="0.3">
      <c r="A620" s="4" t="s">
        <v>349</v>
      </c>
      <c r="B620" s="4" t="s">
        <v>787</v>
      </c>
      <c r="C620" s="4" t="s">
        <v>788</v>
      </c>
      <c r="D620" s="4" t="s">
        <v>63</v>
      </c>
      <c r="E620" s="4" t="s">
        <v>16</v>
      </c>
      <c r="F620" s="4">
        <v>2</v>
      </c>
      <c r="G620" s="5">
        <v>0</v>
      </c>
      <c r="H620" s="24">
        <v>60.5</v>
      </c>
      <c r="I620" s="16">
        <v>450</v>
      </c>
      <c r="J620" s="5">
        <v>100</v>
      </c>
      <c r="K620" s="5">
        <v>600</v>
      </c>
      <c r="L620" s="5">
        <v>0.92</v>
      </c>
      <c r="M620" s="5">
        <f>(International_Education_Costs!$G620+International_Education_Costs!$I620+International_Education_Costs!$J620+International_Education_Costs!$K620)*International_Education_Costs!$L620</f>
        <v>1058</v>
      </c>
      <c r="N620" s="5">
        <f>International_Education_Costs!$G620+International_Education_Costs!$I620+International_Education_Costs!$J620+International_Education_Costs!$K620</f>
        <v>1150</v>
      </c>
    </row>
    <row r="621" spans="1:14" x14ac:dyDescent="0.3">
      <c r="A621" s="6" t="s">
        <v>84</v>
      </c>
      <c r="B621" s="6" t="s">
        <v>85</v>
      </c>
      <c r="C621" s="6" t="s">
        <v>861</v>
      </c>
      <c r="D621" s="6" t="s">
        <v>137</v>
      </c>
      <c r="E621" s="6" t="s">
        <v>16</v>
      </c>
      <c r="F621" s="6">
        <v>2</v>
      </c>
      <c r="G621" s="7">
        <v>3600</v>
      </c>
      <c r="H621" s="25">
        <v>75.400000000000006</v>
      </c>
      <c r="I621" s="17">
        <v>900</v>
      </c>
      <c r="J621" s="7">
        <v>180</v>
      </c>
      <c r="K621" s="7">
        <v>800</v>
      </c>
      <c r="L621" s="7">
        <v>0.92</v>
      </c>
      <c r="M621" s="7">
        <f>(International_Education_Costs!$G621+International_Education_Costs!$I621+International_Education_Costs!$J621+International_Education_Costs!$K621)*International_Education_Costs!$L621</f>
        <v>5041.6000000000004</v>
      </c>
      <c r="N621" s="7">
        <f>International_Education_Costs!$G621+International_Education_Costs!$I621+International_Education_Costs!$J621+International_Education_Costs!$K621</f>
        <v>5480</v>
      </c>
    </row>
    <row r="622" spans="1:14" x14ac:dyDescent="0.3">
      <c r="A622" s="4" t="s">
        <v>847</v>
      </c>
      <c r="B622" s="4" t="s">
        <v>862</v>
      </c>
      <c r="C622" s="4" t="s">
        <v>863</v>
      </c>
      <c r="D622" s="4" t="s">
        <v>15</v>
      </c>
      <c r="E622" s="4" t="s">
        <v>122</v>
      </c>
      <c r="F622" s="4">
        <v>4</v>
      </c>
      <c r="G622" s="5">
        <v>6000</v>
      </c>
      <c r="H622" s="24">
        <v>47.2</v>
      </c>
      <c r="I622" s="16">
        <v>380</v>
      </c>
      <c r="J622" s="5">
        <v>140</v>
      </c>
      <c r="K622" s="5">
        <v>450</v>
      </c>
      <c r="L622" s="5">
        <v>350.25</v>
      </c>
      <c r="M622" s="5">
        <f>(International_Education_Costs!$G622+International_Education_Costs!$I622+International_Education_Costs!$J622+International_Education_Costs!$K622)*International_Education_Costs!$L622</f>
        <v>2441242.5</v>
      </c>
      <c r="N622" s="5">
        <f>International_Education_Costs!$G622+International_Education_Costs!$I622+International_Education_Costs!$J622+International_Education_Costs!$K622</f>
        <v>6970</v>
      </c>
    </row>
    <row r="623" spans="1:14" x14ac:dyDescent="0.3">
      <c r="A623" s="6" t="s">
        <v>342</v>
      </c>
      <c r="B623" s="6" t="s">
        <v>864</v>
      </c>
      <c r="C623" s="6" t="s">
        <v>865</v>
      </c>
      <c r="D623" s="6" t="s">
        <v>99</v>
      </c>
      <c r="E623" s="6" t="s">
        <v>16</v>
      </c>
      <c r="F623" s="6">
        <v>2</v>
      </c>
      <c r="G623" s="7">
        <v>4800</v>
      </c>
      <c r="H623" s="25">
        <v>55.4</v>
      </c>
      <c r="I623" s="17">
        <v>400</v>
      </c>
      <c r="J623" s="7">
        <v>160</v>
      </c>
      <c r="K623" s="7">
        <v>400</v>
      </c>
      <c r="L623" s="7">
        <v>95.5</v>
      </c>
      <c r="M623" s="7">
        <f>(International_Education_Costs!$G623+International_Education_Costs!$I623+International_Education_Costs!$J623+International_Education_Costs!$K623)*International_Education_Costs!$L623</f>
        <v>550080</v>
      </c>
      <c r="N623" s="7">
        <f>International_Education_Costs!$G623+International_Education_Costs!$I623+International_Education_Costs!$J623+International_Education_Costs!$K623</f>
        <v>5760</v>
      </c>
    </row>
    <row r="624" spans="1:14" x14ac:dyDescent="0.3">
      <c r="A624" s="4" t="s">
        <v>339</v>
      </c>
      <c r="B624" s="4" t="s">
        <v>866</v>
      </c>
      <c r="C624" s="4" t="s">
        <v>867</v>
      </c>
      <c r="D624" s="4" t="s">
        <v>216</v>
      </c>
      <c r="E624" s="4" t="s">
        <v>75</v>
      </c>
      <c r="F624" s="4">
        <v>4</v>
      </c>
      <c r="G624" s="5">
        <v>1000</v>
      </c>
      <c r="H624" s="24">
        <v>45.6</v>
      </c>
      <c r="I624" s="16">
        <v>350</v>
      </c>
      <c r="J624" s="5">
        <v>90</v>
      </c>
      <c r="K624" s="5">
        <v>500</v>
      </c>
      <c r="L624" s="5">
        <v>28.5</v>
      </c>
      <c r="M624" s="5">
        <f>(International_Education_Costs!$G624+International_Education_Costs!$I624+International_Education_Costs!$J624+International_Education_Costs!$K624)*International_Education_Costs!$L624</f>
        <v>55290</v>
      </c>
      <c r="N624" s="5">
        <f>International_Education_Costs!$G624+International_Education_Costs!$I624+International_Education_Costs!$J624+International_Education_Costs!$K624</f>
        <v>1940</v>
      </c>
    </row>
    <row r="625" spans="1:14" x14ac:dyDescent="0.3">
      <c r="A625" s="6" t="s">
        <v>349</v>
      </c>
      <c r="B625" s="6" t="s">
        <v>798</v>
      </c>
      <c r="C625" s="6" t="s">
        <v>799</v>
      </c>
      <c r="D625" s="6" t="s">
        <v>71</v>
      </c>
      <c r="E625" s="6" t="s">
        <v>16</v>
      </c>
      <c r="F625" s="6">
        <v>2</v>
      </c>
      <c r="G625" s="7">
        <v>0</v>
      </c>
      <c r="H625" s="25">
        <v>61.2</v>
      </c>
      <c r="I625" s="17">
        <v>480</v>
      </c>
      <c r="J625" s="7">
        <v>100</v>
      </c>
      <c r="K625" s="7">
        <v>600</v>
      </c>
      <c r="L625" s="7">
        <v>0.92</v>
      </c>
      <c r="M625" s="7">
        <f>(International_Education_Costs!$G625+International_Education_Costs!$I625+International_Education_Costs!$J625+International_Education_Costs!$K625)*International_Education_Costs!$L625</f>
        <v>1085.6000000000001</v>
      </c>
      <c r="N625" s="7">
        <f>International_Education_Costs!$G625+International_Education_Costs!$I625+International_Education_Costs!$J625+International_Education_Costs!$K625</f>
        <v>1180</v>
      </c>
    </row>
    <row r="626" spans="1:14" x14ac:dyDescent="0.3">
      <c r="A626" s="4" t="s">
        <v>84</v>
      </c>
      <c r="B626" s="4" t="s">
        <v>868</v>
      </c>
      <c r="C626" s="4" t="s">
        <v>869</v>
      </c>
      <c r="D626" s="4" t="s">
        <v>15</v>
      </c>
      <c r="E626" s="4" t="s">
        <v>122</v>
      </c>
      <c r="F626" s="4">
        <v>4</v>
      </c>
      <c r="G626" s="5">
        <v>3700</v>
      </c>
      <c r="H626" s="24">
        <v>71.2</v>
      </c>
      <c r="I626" s="16">
        <v>800</v>
      </c>
      <c r="J626" s="5">
        <v>180</v>
      </c>
      <c r="K626" s="5">
        <v>800</v>
      </c>
      <c r="L626" s="5">
        <v>0.92</v>
      </c>
      <c r="M626" s="5">
        <f>(International_Education_Costs!$G626+International_Education_Costs!$I626+International_Education_Costs!$J626+International_Education_Costs!$K626)*International_Education_Costs!$L626</f>
        <v>5041.6000000000004</v>
      </c>
      <c r="N626" s="5">
        <f>International_Education_Costs!$G626+International_Education_Costs!$I626+International_Education_Costs!$J626+International_Education_Costs!$K626</f>
        <v>5480</v>
      </c>
    </row>
    <row r="627" spans="1:14" x14ac:dyDescent="0.3">
      <c r="A627" s="6" t="s">
        <v>847</v>
      </c>
      <c r="B627" s="6" t="s">
        <v>870</v>
      </c>
      <c r="C627" s="6" t="s">
        <v>871</v>
      </c>
      <c r="D627" s="6" t="s">
        <v>242</v>
      </c>
      <c r="E627" s="6" t="s">
        <v>16</v>
      </c>
      <c r="F627" s="6">
        <v>2</v>
      </c>
      <c r="G627" s="7">
        <v>5500</v>
      </c>
      <c r="H627" s="25">
        <v>46.8</v>
      </c>
      <c r="I627" s="17">
        <v>350</v>
      </c>
      <c r="J627" s="7">
        <v>140</v>
      </c>
      <c r="K627" s="7">
        <v>450</v>
      </c>
      <c r="L627" s="7">
        <v>350.25</v>
      </c>
      <c r="M627" s="7">
        <f>(International_Education_Costs!$G627+International_Education_Costs!$I627+International_Education_Costs!$J627+International_Education_Costs!$K627)*International_Education_Costs!$L627</f>
        <v>2255610</v>
      </c>
      <c r="N627" s="7">
        <f>International_Education_Costs!$G627+International_Education_Costs!$I627+International_Education_Costs!$J627+International_Education_Costs!$K627</f>
        <v>6440</v>
      </c>
    </row>
    <row r="628" spans="1:14" x14ac:dyDescent="0.3">
      <c r="A628" s="4" t="s">
        <v>342</v>
      </c>
      <c r="B628" s="4" t="s">
        <v>872</v>
      </c>
      <c r="C628" s="4" t="s">
        <v>873</v>
      </c>
      <c r="D628" s="4" t="s">
        <v>40</v>
      </c>
      <c r="E628" s="4" t="s">
        <v>75</v>
      </c>
      <c r="F628" s="4">
        <v>4</v>
      </c>
      <c r="G628" s="5">
        <v>4500</v>
      </c>
      <c r="H628" s="24">
        <v>52.3</v>
      </c>
      <c r="I628" s="16">
        <v>380</v>
      </c>
      <c r="J628" s="5">
        <v>160</v>
      </c>
      <c r="K628" s="5">
        <v>400</v>
      </c>
      <c r="L628" s="5">
        <v>95.5</v>
      </c>
      <c r="M628" s="5">
        <f>(International_Education_Costs!$G628+International_Education_Costs!$I628+International_Education_Costs!$J628+International_Education_Costs!$K628)*International_Education_Costs!$L628</f>
        <v>519520</v>
      </c>
      <c r="N628" s="5">
        <f>International_Education_Costs!$G628+International_Education_Costs!$I628+International_Education_Costs!$J628+International_Education_Costs!$K628</f>
        <v>5440</v>
      </c>
    </row>
    <row r="629" spans="1:14" x14ac:dyDescent="0.3">
      <c r="A629" s="6" t="s">
        <v>339</v>
      </c>
      <c r="B629" s="6" t="s">
        <v>874</v>
      </c>
      <c r="C629" s="6" t="s">
        <v>875</v>
      </c>
      <c r="D629" s="6" t="s">
        <v>15</v>
      </c>
      <c r="E629" s="6" t="s">
        <v>16</v>
      </c>
      <c r="F629" s="6">
        <v>2</v>
      </c>
      <c r="G629" s="7">
        <v>1100</v>
      </c>
      <c r="H629" s="25">
        <v>46.5</v>
      </c>
      <c r="I629" s="17">
        <v>380</v>
      </c>
      <c r="J629" s="7">
        <v>90</v>
      </c>
      <c r="K629" s="7">
        <v>500</v>
      </c>
      <c r="L629" s="7">
        <v>28.5</v>
      </c>
      <c r="M629" s="7">
        <f>(International_Education_Costs!$G629+International_Education_Costs!$I629+International_Education_Costs!$J629+International_Education_Costs!$K629)*International_Education_Costs!$L629</f>
        <v>58995</v>
      </c>
      <c r="N629" s="7">
        <f>International_Education_Costs!$G629+International_Education_Costs!$I629+International_Education_Costs!$J629+International_Education_Costs!$K629</f>
        <v>2070</v>
      </c>
    </row>
    <row r="630" spans="1:14" x14ac:dyDescent="0.3">
      <c r="A630" s="4" t="s">
        <v>349</v>
      </c>
      <c r="B630" s="4" t="s">
        <v>808</v>
      </c>
      <c r="C630" s="4" t="s">
        <v>809</v>
      </c>
      <c r="D630" s="4" t="s">
        <v>301</v>
      </c>
      <c r="E630" s="4" t="s">
        <v>122</v>
      </c>
      <c r="F630" s="4">
        <v>4</v>
      </c>
      <c r="G630" s="5">
        <v>0</v>
      </c>
      <c r="H630" s="24">
        <v>59.8</v>
      </c>
      <c r="I630" s="16">
        <v>400</v>
      </c>
      <c r="J630" s="5">
        <v>100</v>
      </c>
      <c r="K630" s="5">
        <v>600</v>
      </c>
      <c r="L630" s="5">
        <v>0.92</v>
      </c>
      <c r="M630" s="5">
        <f>(International_Education_Costs!$G630+International_Education_Costs!$I630+International_Education_Costs!$J630+International_Education_Costs!$K630)*International_Education_Costs!$L630</f>
        <v>1012</v>
      </c>
      <c r="N630" s="5">
        <f>International_Education_Costs!$G630+International_Education_Costs!$I630+International_Education_Costs!$J630+International_Education_Costs!$K630</f>
        <v>1100</v>
      </c>
    </row>
    <row r="631" spans="1:14" x14ac:dyDescent="0.3">
      <c r="A631" s="6" t="s">
        <v>84</v>
      </c>
      <c r="B631" s="6" t="s">
        <v>876</v>
      </c>
      <c r="C631" s="6" t="s">
        <v>877</v>
      </c>
      <c r="D631" s="6" t="s">
        <v>252</v>
      </c>
      <c r="E631" s="6" t="s">
        <v>16</v>
      </c>
      <c r="F631" s="6">
        <v>2</v>
      </c>
      <c r="G631" s="7">
        <v>3500</v>
      </c>
      <c r="H631" s="25">
        <v>70.5</v>
      </c>
      <c r="I631" s="17">
        <v>780</v>
      </c>
      <c r="J631" s="7">
        <v>180</v>
      </c>
      <c r="K631" s="7">
        <v>800</v>
      </c>
      <c r="L631" s="7">
        <v>0.92</v>
      </c>
      <c r="M631" s="7">
        <f>(International_Education_Costs!$G631+International_Education_Costs!$I631+International_Education_Costs!$J631+International_Education_Costs!$K631)*International_Education_Costs!$L631</f>
        <v>4839.2</v>
      </c>
      <c r="N631" s="7">
        <f>International_Education_Costs!$G631+International_Education_Costs!$I631+International_Education_Costs!$J631+International_Education_Costs!$K631</f>
        <v>5260</v>
      </c>
    </row>
    <row r="632" spans="1:14" x14ac:dyDescent="0.3">
      <c r="A632" s="4" t="s">
        <v>847</v>
      </c>
      <c r="B632" s="4" t="s">
        <v>878</v>
      </c>
      <c r="C632" s="4" t="s">
        <v>879</v>
      </c>
      <c r="D632" s="4" t="s">
        <v>137</v>
      </c>
      <c r="E632" s="4" t="s">
        <v>75</v>
      </c>
      <c r="F632" s="4">
        <v>3</v>
      </c>
      <c r="G632" s="5">
        <v>5200</v>
      </c>
      <c r="H632" s="24">
        <v>45.6</v>
      </c>
      <c r="I632" s="16">
        <v>320</v>
      </c>
      <c r="J632" s="5">
        <v>140</v>
      </c>
      <c r="K632" s="5">
        <v>450</v>
      </c>
      <c r="L632" s="5">
        <v>350.25</v>
      </c>
      <c r="M632" s="5">
        <f>(International_Education_Costs!$G632+International_Education_Costs!$I632+International_Education_Costs!$J632+International_Education_Costs!$K632)*International_Education_Costs!$L632</f>
        <v>2140027.5</v>
      </c>
      <c r="N632" s="5">
        <f>International_Education_Costs!$G632+International_Education_Costs!$I632+International_Education_Costs!$J632+International_Education_Costs!$K632</f>
        <v>6110</v>
      </c>
    </row>
    <row r="633" spans="1:14" x14ac:dyDescent="0.3">
      <c r="A633" s="6" t="s">
        <v>342</v>
      </c>
      <c r="B633" s="6" t="s">
        <v>880</v>
      </c>
      <c r="C633" s="6" t="s">
        <v>881</v>
      </c>
      <c r="D633" s="6" t="s">
        <v>208</v>
      </c>
      <c r="E633" s="6" t="s">
        <v>16</v>
      </c>
      <c r="F633" s="6">
        <v>2</v>
      </c>
      <c r="G633" s="7">
        <v>4600</v>
      </c>
      <c r="H633" s="25">
        <v>51.2</v>
      </c>
      <c r="I633" s="17">
        <v>350</v>
      </c>
      <c r="J633" s="7">
        <v>160</v>
      </c>
      <c r="K633" s="7">
        <v>400</v>
      </c>
      <c r="L633" s="7">
        <v>95.5</v>
      </c>
      <c r="M633" s="7">
        <f>(International_Education_Costs!$G633+International_Education_Costs!$I633+International_Education_Costs!$J633+International_Education_Costs!$K633)*International_Education_Costs!$L633</f>
        <v>526205</v>
      </c>
      <c r="N633" s="7">
        <f>International_Education_Costs!$G633+International_Education_Costs!$I633+International_Education_Costs!$J633+International_Education_Costs!$K633</f>
        <v>5510</v>
      </c>
    </row>
    <row r="634" spans="1:14" x14ac:dyDescent="0.3">
      <c r="A634" s="4" t="s">
        <v>339</v>
      </c>
      <c r="B634" s="4" t="s">
        <v>882</v>
      </c>
      <c r="C634" s="4" t="s">
        <v>883</v>
      </c>
      <c r="D634" s="4" t="s">
        <v>20</v>
      </c>
      <c r="E634" s="4" t="s">
        <v>122</v>
      </c>
      <c r="F634" s="4">
        <v>4</v>
      </c>
      <c r="G634" s="5">
        <v>1400</v>
      </c>
      <c r="H634" s="24">
        <v>47.8</v>
      </c>
      <c r="I634" s="16">
        <v>420</v>
      </c>
      <c r="J634" s="5">
        <v>90</v>
      </c>
      <c r="K634" s="5">
        <v>500</v>
      </c>
      <c r="L634" s="5">
        <v>28.5</v>
      </c>
      <c r="M634" s="5">
        <f>(International_Education_Costs!$G634+International_Education_Costs!$I634+International_Education_Costs!$J634+International_Education_Costs!$K634)*International_Education_Costs!$L634</f>
        <v>68685</v>
      </c>
      <c r="N634" s="5">
        <f>International_Education_Costs!$G634+International_Education_Costs!$I634+International_Education_Costs!$J634+International_Education_Costs!$K634</f>
        <v>2410</v>
      </c>
    </row>
    <row r="635" spans="1:14" x14ac:dyDescent="0.3">
      <c r="A635" s="6" t="s">
        <v>349</v>
      </c>
      <c r="B635" s="6" t="s">
        <v>884</v>
      </c>
      <c r="C635" s="6" t="s">
        <v>885</v>
      </c>
      <c r="D635" s="6" t="s">
        <v>223</v>
      </c>
      <c r="E635" s="6" t="s">
        <v>16</v>
      </c>
      <c r="F635" s="6">
        <v>2</v>
      </c>
      <c r="G635" s="7">
        <v>0</v>
      </c>
      <c r="H635" s="25">
        <v>63.4</v>
      </c>
      <c r="I635" s="17">
        <v>550</v>
      </c>
      <c r="J635" s="7">
        <v>100</v>
      </c>
      <c r="K635" s="7">
        <v>600</v>
      </c>
      <c r="L635" s="7">
        <v>0.92</v>
      </c>
      <c r="M635" s="7">
        <f>(International_Education_Costs!$G635+International_Education_Costs!$I635+International_Education_Costs!$J635+International_Education_Costs!$K635)*International_Education_Costs!$L635</f>
        <v>1150</v>
      </c>
      <c r="N635" s="7">
        <f>International_Education_Costs!$G635+International_Education_Costs!$I635+International_Education_Costs!$J635+International_Education_Costs!$K635</f>
        <v>1250</v>
      </c>
    </row>
    <row r="636" spans="1:14" x14ac:dyDescent="0.3">
      <c r="A636" s="4" t="s">
        <v>84</v>
      </c>
      <c r="B636" s="4" t="s">
        <v>886</v>
      </c>
      <c r="C636" s="4" t="s">
        <v>887</v>
      </c>
      <c r="D636" s="4" t="s">
        <v>40</v>
      </c>
      <c r="E636" s="4" t="s">
        <v>75</v>
      </c>
      <c r="F636" s="4">
        <v>3</v>
      </c>
      <c r="G636" s="5">
        <v>3400</v>
      </c>
      <c r="H636" s="24">
        <v>69.8</v>
      </c>
      <c r="I636" s="16">
        <v>750</v>
      </c>
      <c r="J636" s="5">
        <v>180</v>
      </c>
      <c r="K636" s="5">
        <v>800</v>
      </c>
      <c r="L636" s="5">
        <v>0.92</v>
      </c>
      <c r="M636" s="5">
        <f>(International_Education_Costs!$G636+International_Education_Costs!$I636+International_Education_Costs!$J636+International_Education_Costs!$K636)*International_Education_Costs!$L636</f>
        <v>4719.6000000000004</v>
      </c>
      <c r="N636" s="5">
        <f>International_Education_Costs!$G636+International_Education_Costs!$I636+International_Education_Costs!$J636+International_Education_Costs!$K636</f>
        <v>5130</v>
      </c>
    </row>
    <row r="637" spans="1:14" x14ac:dyDescent="0.3">
      <c r="A637" s="6" t="s">
        <v>847</v>
      </c>
      <c r="B637" s="6" t="s">
        <v>888</v>
      </c>
      <c r="C637" s="6" t="s">
        <v>889</v>
      </c>
      <c r="D637" s="6" t="s">
        <v>63</v>
      </c>
      <c r="E637" s="6" t="s">
        <v>16</v>
      </c>
      <c r="F637" s="6">
        <v>2</v>
      </c>
      <c r="G637" s="7">
        <v>5300</v>
      </c>
      <c r="H637" s="25">
        <v>44.5</v>
      </c>
      <c r="I637" s="17">
        <v>300</v>
      </c>
      <c r="J637" s="7">
        <v>140</v>
      </c>
      <c r="K637" s="7">
        <v>450</v>
      </c>
      <c r="L637" s="7">
        <v>350.25</v>
      </c>
      <c r="M637" s="7">
        <f>(International_Education_Costs!$G637+International_Education_Costs!$I637+International_Education_Costs!$J637+International_Education_Costs!$K637)*International_Education_Costs!$L637</f>
        <v>2168047.5</v>
      </c>
      <c r="N637" s="7">
        <f>International_Education_Costs!$G637+International_Education_Costs!$I637+International_Education_Costs!$J637+International_Education_Costs!$K637</f>
        <v>6190</v>
      </c>
    </row>
    <row r="638" spans="1:14" x14ac:dyDescent="0.3">
      <c r="A638" s="4" t="s">
        <v>342</v>
      </c>
      <c r="B638" s="4" t="s">
        <v>890</v>
      </c>
      <c r="C638" s="4" t="s">
        <v>891</v>
      </c>
      <c r="D638" s="4" t="s">
        <v>71</v>
      </c>
      <c r="E638" s="4" t="s">
        <v>122</v>
      </c>
      <c r="F638" s="4">
        <v>4</v>
      </c>
      <c r="G638" s="5">
        <v>4700</v>
      </c>
      <c r="H638" s="24">
        <v>53.4</v>
      </c>
      <c r="I638" s="16">
        <v>400</v>
      </c>
      <c r="J638" s="5">
        <v>160</v>
      </c>
      <c r="K638" s="5">
        <v>400</v>
      </c>
      <c r="L638" s="5">
        <v>95.5</v>
      </c>
      <c r="M638" s="5">
        <f>(International_Education_Costs!$G638+International_Education_Costs!$I638+International_Education_Costs!$J638+International_Education_Costs!$K638)*International_Education_Costs!$L638</f>
        <v>540530</v>
      </c>
      <c r="N638" s="5">
        <f>International_Education_Costs!$G638+International_Education_Costs!$I638+International_Education_Costs!$J638+International_Education_Costs!$K638</f>
        <v>5660</v>
      </c>
    </row>
    <row r="639" spans="1:14" x14ac:dyDescent="0.3">
      <c r="A639" s="6" t="s">
        <v>339</v>
      </c>
      <c r="B639" s="6" t="s">
        <v>892</v>
      </c>
      <c r="C639" s="6" t="s">
        <v>893</v>
      </c>
      <c r="D639" s="6" t="s">
        <v>208</v>
      </c>
      <c r="E639" s="6" t="s">
        <v>16</v>
      </c>
      <c r="F639" s="6">
        <v>2</v>
      </c>
      <c r="G639" s="7">
        <v>1200</v>
      </c>
      <c r="H639" s="25">
        <v>45.2</v>
      </c>
      <c r="I639" s="17">
        <v>350</v>
      </c>
      <c r="J639" s="7">
        <v>90</v>
      </c>
      <c r="K639" s="7">
        <v>500</v>
      </c>
      <c r="L639" s="7">
        <v>28.5</v>
      </c>
      <c r="M639" s="7">
        <f>(International_Education_Costs!$G639+International_Education_Costs!$I639+International_Education_Costs!$J639+International_Education_Costs!$K639)*International_Education_Costs!$L639</f>
        <v>60990</v>
      </c>
      <c r="N639" s="7">
        <f>International_Education_Costs!$G639+International_Education_Costs!$I639+International_Education_Costs!$J639+International_Education_Costs!$K639</f>
        <v>2140</v>
      </c>
    </row>
    <row r="640" spans="1:14" x14ac:dyDescent="0.3">
      <c r="A640" s="4" t="s">
        <v>349</v>
      </c>
      <c r="B640" s="4" t="s">
        <v>894</v>
      </c>
      <c r="C640" s="4" t="s">
        <v>895</v>
      </c>
      <c r="D640" s="4" t="s">
        <v>63</v>
      </c>
      <c r="E640" s="4" t="s">
        <v>75</v>
      </c>
      <c r="F640" s="4">
        <v>4</v>
      </c>
      <c r="G640" s="5">
        <v>0</v>
      </c>
      <c r="H640" s="24">
        <v>58.7</v>
      </c>
      <c r="I640" s="16">
        <v>380</v>
      </c>
      <c r="J640" s="5">
        <v>100</v>
      </c>
      <c r="K640" s="5">
        <v>600</v>
      </c>
      <c r="L640" s="5">
        <v>0.92</v>
      </c>
      <c r="M640" s="5">
        <f>(International_Education_Costs!$G640+International_Education_Costs!$I640+International_Education_Costs!$J640+International_Education_Costs!$K640)*International_Education_Costs!$L640</f>
        <v>993.6</v>
      </c>
      <c r="N640" s="5">
        <f>International_Education_Costs!$G640+International_Education_Costs!$I640+International_Education_Costs!$J640+International_Education_Costs!$K640</f>
        <v>1080</v>
      </c>
    </row>
    <row r="641" spans="1:14" x14ac:dyDescent="0.3">
      <c r="A641" s="6" t="s">
        <v>84</v>
      </c>
      <c r="B641" s="6" t="s">
        <v>896</v>
      </c>
      <c r="C641" s="6" t="s">
        <v>897</v>
      </c>
      <c r="D641" s="6" t="s">
        <v>20</v>
      </c>
      <c r="E641" s="6" t="s">
        <v>122</v>
      </c>
      <c r="F641" s="6">
        <v>4</v>
      </c>
      <c r="G641" s="7">
        <v>3600</v>
      </c>
      <c r="H641" s="25">
        <v>68.900000000000006</v>
      </c>
      <c r="I641" s="17">
        <v>720</v>
      </c>
      <c r="J641" s="7">
        <v>180</v>
      </c>
      <c r="K641" s="7">
        <v>800</v>
      </c>
      <c r="L641" s="7">
        <v>0.92</v>
      </c>
      <c r="M641" s="7">
        <f>(International_Education_Costs!$G641+International_Education_Costs!$I641+International_Education_Costs!$J641+International_Education_Costs!$K641)*International_Education_Costs!$L641</f>
        <v>4876</v>
      </c>
      <c r="N641" s="7">
        <f>International_Education_Costs!$G641+International_Education_Costs!$I641+International_Education_Costs!$J641+International_Education_Costs!$K641</f>
        <v>5300</v>
      </c>
    </row>
    <row r="642" spans="1:14" x14ac:dyDescent="0.3">
      <c r="A642" s="4" t="s">
        <v>847</v>
      </c>
      <c r="B642" s="4" t="s">
        <v>898</v>
      </c>
      <c r="C642" s="4" t="s">
        <v>899</v>
      </c>
      <c r="D642" s="4" t="s">
        <v>216</v>
      </c>
      <c r="E642" s="4" t="s">
        <v>16</v>
      </c>
      <c r="F642" s="4">
        <v>2</v>
      </c>
      <c r="G642" s="5">
        <v>5100</v>
      </c>
      <c r="H642" s="24">
        <v>44.8</v>
      </c>
      <c r="I642" s="16">
        <v>310</v>
      </c>
      <c r="J642" s="5">
        <v>140</v>
      </c>
      <c r="K642" s="5">
        <v>450</v>
      </c>
      <c r="L642" s="5">
        <v>350.25</v>
      </c>
      <c r="M642" s="5">
        <f>(International_Education_Costs!$G642+International_Education_Costs!$I642+International_Education_Costs!$J642+International_Education_Costs!$K642)*International_Education_Costs!$L642</f>
        <v>2101500</v>
      </c>
      <c r="N642" s="5">
        <f>International_Education_Costs!$G642+International_Education_Costs!$I642+International_Education_Costs!$J642+International_Education_Costs!$K642</f>
        <v>6000</v>
      </c>
    </row>
    <row r="643" spans="1:14" x14ac:dyDescent="0.3">
      <c r="A643" s="6" t="s">
        <v>342</v>
      </c>
      <c r="B643" s="6" t="s">
        <v>900</v>
      </c>
      <c r="C643" s="6" t="s">
        <v>901</v>
      </c>
      <c r="D643" s="6" t="s">
        <v>15</v>
      </c>
      <c r="E643" s="6" t="s">
        <v>16</v>
      </c>
      <c r="F643" s="6">
        <v>2</v>
      </c>
      <c r="G643" s="7">
        <v>4400</v>
      </c>
      <c r="H643" s="25">
        <v>50.5</v>
      </c>
      <c r="I643" s="17">
        <v>370</v>
      </c>
      <c r="J643" s="7">
        <v>160</v>
      </c>
      <c r="K643" s="7">
        <v>400</v>
      </c>
      <c r="L643" s="7">
        <v>95.5</v>
      </c>
      <c r="M643" s="7">
        <f>(International_Education_Costs!$G643+International_Education_Costs!$I643+International_Education_Costs!$J643+International_Education_Costs!$K643)*International_Education_Costs!$L643</f>
        <v>509015</v>
      </c>
      <c r="N643" s="7">
        <f>International_Education_Costs!$G643+International_Education_Costs!$I643+International_Education_Costs!$J643+International_Education_Costs!$K643</f>
        <v>5330</v>
      </c>
    </row>
    <row r="644" spans="1:14" x14ac:dyDescent="0.3">
      <c r="A644" s="4" t="s">
        <v>339</v>
      </c>
      <c r="B644" s="4" t="s">
        <v>902</v>
      </c>
      <c r="C644" s="4" t="s">
        <v>903</v>
      </c>
      <c r="D644" s="4" t="s">
        <v>40</v>
      </c>
      <c r="E644" s="4" t="s">
        <v>75</v>
      </c>
      <c r="F644" s="4">
        <v>4</v>
      </c>
      <c r="G644" s="5">
        <v>1000</v>
      </c>
      <c r="H644" s="24">
        <v>44.5</v>
      </c>
      <c r="I644" s="16">
        <v>330</v>
      </c>
      <c r="J644" s="5">
        <v>90</v>
      </c>
      <c r="K644" s="5">
        <v>500</v>
      </c>
      <c r="L644" s="5">
        <v>28.5</v>
      </c>
      <c r="M644" s="5">
        <f>(International_Education_Costs!$G644+International_Education_Costs!$I644+International_Education_Costs!$J644+International_Education_Costs!$K644)*International_Education_Costs!$L644</f>
        <v>54720</v>
      </c>
      <c r="N644" s="5">
        <f>International_Education_Costs!$G644+International_Education_Costs!$I644+International_Education_Costs!$J644+International_Education_Costs!$K644</f>
        <v>1920</v>
      </c>
    </row>
    <row r="645" spans="1:14" x14ac:dyDescent="0.3">
      <c r="A645" s="6" t="s">
        <v>349</v>
      </c>
      <c r="B645" s="6" t="s">
        <v>904</v>
      </c>
      <c r="C645" s="6" t="s">
        <v>829</v>
      </c>
      <c r="D645" s="6" t="s">
        <v>435</v>
      </c>
      <c r="E645" s="6" t="s">
        <v>16</v>
      </c>
      <c r="F645" s="6">
        <v>2</v>
      </c>
      <c r="G645" s="7">
        <v>0</v>
      </c>
      <c r="H645" s="25">
        <v>59.2</v>
      </c>
      <c r="I645" s="17">
        <v>400</v>
      </c>
      <c r="J645" s="7">
        <v>100</v>
      </c>
      <c r="K645" s="7">
        <v>600</v>
      </c>
      <c r="L645" s="7">
        <v>0.92</v>
      </c>
      <c r="M645" s="7">
        <f>(International_Education_Costs!$G645+International_Education_Costs!$I645+International_Education_Costs!$J645+International_Education_Costs!$K645)*International_Education_Costs!$L645</f>
        <v>1012</v>
      </c>
      <c r="N645" s="7">
        <f>International_Education_Costs!$G645+International_Education_Costs!$I645+International_Education_Costs!$J645+International_Education_Costs!$K645</f>
        <v>1100</v>
      </c>
    </row>
    <row r="646" spans="1:14" x14ac:dyDescent="0.3">
      <c r="A646" s="4" t="s">
        <v>84</v>
      </c>
      <c r="B646" s="4" t="s">
        <v>905</v>
      </c>
      <c r="C646" s="4" t="s">
        <v>906</v>
      </c>
      <c r="D646" s="4" t="s">
        <v>63</v>
      </c>
      <c r="E646" s="4" t="s">
        <v>16</v>
      </c>
      <c r="F646" s="4">
        <v>2</v>
      </c>
      <c r="G646" s="5">
        <v>3500</v>
      </c>
      <c r="H646" s="24">
        <v>67.8</v>
      </c>
      <c r="I646" s="16">
        <v>700</v>
      </c>
      <c r="J646" s="5">
        <v>180</v>
      </c>
      <c r="K646" s="5">
        <v>800</v>
      </c>
      <c r="L646" s="5">
        <v>0.92</v>
      </c>
      <c r="M646" s="5">
        <f>(International_Education_Costs!$G646+International_Education_Costs!$I646+International_Education_Costs!$J646+International_Education_Costs!$K646)*International_Education_Costs!$L646</f>
        <v>4765.6000000000004</v>
      </c>
      <c r="N646" s="5">
        <f>International_Education_Costs!$G646+International_Education_Costs!$I646+International_Education_Costs!$J646+International_Education_Costs!$K646</f>
        <v>5180</v>
      </c>
    </row>
    <row r="647" spans="1:14" x14ac:dyDescent="0.3">
      <c r="A647" s="6" t="s">
        <v>847</v>
      </c>
      <c r="B647" s="6" t="s">
        <v>907</v>
      </c>
      <c r="C647" s="6" t="s">
        <v>908</v>
      </c>
      <c r="D647" s="6" t="s">
        <v>71</v>
      </c>
      <c r="E647" s="6" t="s">
        <v>122</v>
      </c>
      <c r="F647" s="6">
        <v>4</v>
      </c>
      <c r="G647" s="7">
        <v>5400</v>
      </c>
      <c r="H647" s="25">
        <v>43.9</v>
      </c>
      <c r="I647" s="17">
        <v>290</v>
      </c>
      <c r="J647" s="7">
        <v>140</v>
      </c>
      <c r="K647" s="7">
        <v>450</v>
      </c>
      <c r="L647" s="7">
        <v>350.25</v>
      </c>
      <c r="M647" s="7">
        <f>(International_Education_Costs!$G647+International_Education_Costs!$I647+International_Education_Costs!$J647+International_Education_Costs!$K647)*International_Education_Costs!$L647</f>
        <v>2199570</v>
      </c>
      <c r="N647" s="7">
        <f>International_Education_Costs!$G647+International_Education_Costs!$I647+International_Education_Costs!$J647+International_Education_Costs!$K647</f>
        <v>6280</v>
      </c>
    </row>
    <row r="648" spans="1:14" x14ac:dyDescent="0.3">
      <c r="A648" s="4" t="s">
        <v>342</v>
      </c>
      <c r="B648" s="4" t="s">
        <v>909</v>
      </c>
      <c r="C648" s="4" t="s">
        <v>910</v>
      </c>
      <c r="D648" s="4" t="s">
        <v>223</v>
      </c>
      <c r="E648" s="4" t="s">
        <v>75</v>
      </c>
      <c r="F648" s="4">
        <v>4</v>
      </c>
      <c r="G648" s="5">
        <v>4200</v>
      </c>
      <c r="H648" s="24">
        <v>49.8</v>
      </c>
      <c r="I648" s="16">
        <v>350</v>
      </c>
      <c r="J648" s="5">
        <v>160</v>
      </c>
      <c r="K648" s="5">
        <v>400</v>
      </c>
      <c r="L648" s="5">
        <v>95.5</v>
      </c>
      <c r="M648" s="5">
        <f>(International_Education_Costs!$G648+International_Education_Costs!$I648+International_Education_Costs!$J648+International_Education_Costs!$K648)*International_Education_Costs!$L648</f>
        <v>488005</v>
      </c>
      <c r="N648" s="5">
        <f>International_Education_Costs!$G648+International_Education_Costs!$I648+International_Education_Costs!$J648+International_Education_Costs!$K648</f>
        <v>5110</v>
      </c>
    </row>
    <row r="649" spans="1:14" x14ac:dyDescent="0.3">
      <c r="A649" s="6" t="s">
        <v>336</v>
      </c>
      <c r="B649" s="6" t="s">
        <v>337</v>
      </c>
      <c r="C649" s="6" t="s">
        <v>338</v>
      </c>
      <c r="D649" s="6" t="s">
        <v>15</v>
      </c>
      <c r="E649" s="6" t="s">
        <v>16</v>
      </c>
      <c r="F649" s="6">
        <v>2</v>
      </c>
      <c r="G649" s="7">
        <v>0</v>
      </c>
      <c r="H649" s="25">
        <v>55.8</v>
      </c>
      <c r="I649" s="17">
        <v>600</v>
      </c>
      <c r="J649" s="7">
        <v>90</v>
      </c>
      <c r="K649" s="7">
        <v>400</v>
      </c>
      <c r="L649" s="7">
        <v>4.95</v>
      </c>
      <c r="M649" s="7">
        <f>(International_Education_Costs!$G649+International_Education_Costs!$I649+International_Education_Costs!$J649+International_Education_Costs!$K649)*International_Education_Costs!$L649</f>
        <v>5395.5</v>
      </c>
      <c r="N649" s="7">
        <f>International_Education_Costs!$G649+International_Education_Costs!$I649+International_Education_Costs!$J649+International_Education_Costs!$K649</f>
        <v>1090</v>
      </c>
    </row>
    <row r="650" spans="1:14" x14ac:dyDescent="0.3">
      <c r="A650" s="4" t="s">
        <v>156</v>
      </c>
      <c r="B650" s="4" t="s">
        <v>157</v>
      </c>
      <c r="C650" s="4" t="s">
        <v>158</v>
      </c>
      <c r="D650" s="4" t="s">
        <v>20</v>
      </c>
      <c r="E650" s="4" t="s">
        <v>122</v>
      </c>
      <c r="F650" s="4">
        <v>4</v>
      </c>
      <c r="G650" s="5">
        <v>2000</v>
      </c>
      <c r="H650" s="24">
        <v>45.2</v>
      </c>
      <c r="I650" s="16">
        <v>300</v>
      </c>
      <c r="J650" s="5">
        <v>180</v>
      </c>
      <c r="K650" s="5">
        <v>300</v>
      </c>
      <c r="L650" s="5">
        <v>82.75</v>
      </c>
      <c r="M650" s="5">
        <f>(International_Education_Costs!$G650+International_Education_Costs!$I650+International_Education_Costs!$J650+International_Education_Costs!$K650)*International_Education_Costs!$L650</f>
        <v>230045</v>
      </c>
      <c r="N650" s="5">
        <f>International_Education_Costs!$G650+International_Education_Costs!$I650+International_Education_Costs!$J650+International_Education_Costs!$K650</f>
        <v>2780</v>
      </c>
    </row>
    <row r="651" spans="1:14" x14ac:dyDescent="0.3">
      <c r="A651" s="6" t="s">
        <v>352</v>
      </c>
      <c r="B651" s="6" t="s">
        <v>353</v>
      </c>
      <c r="C651" s="6" t="s">
        <v>354</v>
      </c>
      <c r="D651" s="6" t="s">
        <v>208</v>
      </c>
      <c r="E651" s="6" t="s">
        <v>16</v>
      </c>
      <c r="F651" s="6">
        <v>2</v>
      </c>
      <c r="G651" s="7">
        <v>15000</v>
      </c>
      <c r="H651" s="25">
        <v>51.4</v>
      </c>
      <c r="I651" s="17">
        <v>500</v>
      </c>
      <c r="J651" s="7">
        <v>80</v>
      </c>
      <c r="K651" s="7">
        <v>350</v>
      </c>
      <c r="L651" s="7">
        <v>35.25</v>
      </c>
      <c r="M651" s="7">
        <f>(International_Education_Costs!$G651+International_Education_Costs!$I651+International_Education_Costs!$J651+International_Education_Costs!$K651)*International_Education_Costs!$L651</f>
        <v>561532.5</v>
      </c>
      <c r="N651" s="7">
        <f>International_Education_Costs!$G651+International_Education_Costs!$I651+International_Education_Costs!$J651+International_Education_Costs!$K651</f>
        <v>15930</v>
      </c>
    </row>
    <row r="652" spans="1:14" x14ac:dyDescent="0.3">
      <c r="A652" s="4" t="s">
        <v>367</v>
      </c>
      <c r="B652" s="4" t="s">
        <v>368</v>
      </c>
      <c r="C652" s="4" t="s">
        <v>911</v>
      </c>
      <c r="D652" s="4" t="s">
        <v>63</v>
      </c>
      <c r="E652" s="4" t="s">
        <v>75</v>
      </c>
      <c r="F652" s="4">
        <v>4</v>
      </c>
      <c r="G652" s="5">
        <v>2500</v>
      </c>
      <c r="H652" s="24">
        <v>31.8</v>
      </c>
      <c r="I652" s="16">
        <v>250</v>
      </c>
      <c r="J652" s="5">
        <v>100</v>
      </c>
      <c r="K652" s="5">
        <v>200</v>
      </c>
      <c r="L652" s="5">
        <v>30.9</v>
      </c>
      <c r="M652" s="5">
        <f>(International_Education_Costs!$G652+International_Education_Costs!$I652+International_Education_Costs!$J652+International_Education_Costs!$K652)*International_Education_Costs!$L652</f>
        <v>94245</v>
      </c>
      <c r="N652" s="5">
        <f>International_Education_Costs!$G652+International_Education_Costs!$I652+International_Education_Costs!$J652+International_Education_Costs!$K652</f>
        <v>3050</v>
      </c>
    </row>
    <row r="653" spans="1:14" x14ac:dyDescent="0.3">
      <c r="A653" s="6" t="s">
        <v>41</v>
      </c>
      <c r="B653" s="6" t="s">
        <v>41</v>
      </c>
      <c r="C653" s="6" t="s">
        <v>42</v>
      </c>
      <c r="D653" s="6" t="s">
        <v>40</v>
      </c>
      <c r="E653" s="6" t="s">
        <v>16</v>
      </c>
      <c r="F653" s="6">
        <v>2</v>
      </c>
      <c r="G653" s="7">
        <v>42000</v>
      </c>
      <c r="H653" s="25">
        <v>83.8</v>
      </c>
      <c r="I653" s="17">
        <v>1200</v>
      </c>
      <c r="J653" s="7">
        <v>90</v>
      </c>
      <c r="K653" s="7">
        <v>800</v>
      </c>
      <c r="L653" s="7">
        <v>1.35</v>
      </c>
      <c r="M653" s="7">
        <f>(International_Education_Costs!$G653+International_Education_Costs!$I653+International_Education_Costs!$J653+International_Education_Costs!$K653)*International_Education_Costs!$L653</f>
        <v>59521.500000000007</v>
      </c>
      <c r="N653" s="7">
        <f>International_Education_Costs!$G653+International_Education_Costs!$I653+International_Education_Costs!$J653+International_Education_Costs!$K653</f>
        <v>44090</v>
      </c>
    </row>
    <row r="654" spans="1:14" x14ac:dyDescent="0.3">
      <c r="A654" s="4" t="s">
        <v>355</v>
      </c>
      <c r="B654" s="4" t="s">
        <v>356</v>
      </c>
      <c r="C654" s="4" t="s">
        <v>912</v>
      </c>
      <c r="D654" s="4" t="s">
        <v>71</v>
      </c>
      <c r="E654" s="4" t="s">
        <v>16</v>
      </c>
      <c r="F654" s="4">
        <v>2</v>
      </c>
      <c r="G654" s="5">
        <v>25000</v>
      </c>
      <c r="H654" s="24">
        <v>72.400000000000006</v>
      </c>
      <c r="I654" s="16">
        <v>1100</v>
      </c>
      <c r="J654" s="5">
        <v>270</v>
      </c>
      <c r="K654" s="5">
        <v>750</v>
      </c>
      <c r="L654" s="5">
        <v>3.67</v>
      </c>
      <c r="M654" s="5">
        <f>(International_Education_Costs!$G654+International_Education_Costs!$I654+International_Education_Costs!$J654+International_Education_Costs!$K654)*International_Education_Costs!$L654</f>
        <v>99530.4</v>
      </c>
      <c r="N654" s="5">
        <f>International_Education_Costs!$G654+International_Education_Costs!$I654+International_Education_Costs!$J654+International_Education_Costs!$K654</f>
        <v>27120</v>
      </c>
    </row>
    <row r="655" spans="1:14" x14ac:dyDescent="0.3">
      <c r="A655" s="6" t="s">
        <v>336</v>
      </c>
      <c r="B655" s="6" t="s">
        <v>913</v>
      </c>
      <c r="C655" s="6" t="s">
        <v>914</v>
      </c>
      <c r="D655" s="6" t="s">
        <v>216</v>
      </c>
      <c r="E655" s="6" t="s">
        <v>122</v>
      </c>
      <c r="F655" s="6">
        <v>4</v>
      </c>
      <c r="G655" s="7">
        <v>8000</v>
      </c>
      <c r="H655" s="25">
        <v>53.2</v>
      </c>
      <c r="I655" s="17">
        <v>550</v>
      </c>
      <c r="J655" s="7">
        <v>90</v>
      </c>
      <c r="K655" s="7">
        <v>400</v>
      </c>
      <c r="L655" s="7">
        <v>4.95</v>
      </c>
      <c r="M655" s="7">
        <f>(International_Education_Costs!$G655+International_Education_Costs!$I655+International_Education_Costs!$J655+International_Education_Costs!$K655)*International_Education_Costs!$L655</f>
        <v>44748</v>
      </c>
      <c r="N655" s="7">
        <f>International_Education_Costs!$G655+International_Education_Costs!$I655+International_Education_Costs!$J655+International_Education_Costs!$K655</f>
        <v>9040</v>
      </c>
    </row>
    <row r="656" spans="1:14" x14ac:dyDescent="0.3">
      <c r="A656" s="4" t="s">
        <v>156</v>
      </c>
      <c r="B656" s="4" t="s">
        <v>915</v>
      </c>
      <c r="C656" s="4" t="s">
        <v>916</v>
      </c>
      <c r="D656" s="4" t="s">
        <v>63</v>
      </c>
      <c r="E656" s="4" t="s">
        <v>16</v>
      </c>
      <c r="F656" s="4">
        <v>2</v>
      </c>
      <c r="G656" s="5">
        <v>1800</v>
      </c>
      <c r="H656" s="24">
        <v>47.5</v>
      </c>
      <c r="I656" s="16">
        <v>350</v>
      </c>
      <c r="J656" s="5">
        <v>180</v>
      </c>
      <c r="K656" s="5">
        <v>300</v>
      </c>
      <c r="L656" s="5">
        <v>82.75</v>
      </c>
      <c r="M656" s="5">
        <f>(International_Education_Costs!$G656+International_Education_Costs!$I656+International_Education_Costs!$J656+International_Education_Costs!$K656)*International_Education_Costs!$L656</f>
        <v>217632.5</v>
      </c>
      <c r="N656" s="5">
        <f>International_Education_Costs!$G656+International_Education_Costs!$I656+International_Education_Costs!$J656+International_Education_Costs!$K656</f>
        <v>2630</v>
      </c>
    </row>
    <row r="657" spans="1:14" x14ac:dyDescent="0.3">
      <c r="A657" s="6" t="s">
        <v>352</v>
      </c>
      <c r="B657" s="6" t="s">
        <v>917</v>
      </c>
      <c r="C657" s="6" t="s">
        <v>918</v>
      </c>
      <c r="D657" s="6" t="s">
        <v>20</v>
      </c>
      <c r="E657" s="6" t="s">
        <v>75</v>
      </c>
      <c r="F657" s="6">
        <v>4</v>
      </c>
      <c r="G657" s="7">
        <v>12000</v>
      </c>
      <c r="H657" s="25">
        <v>45.6</v>
      </c>
      <c r="I657" s="17">
        <v>300</v>
      </c>
      <c r="J657" s="7">
        <v>80</v>
      </c>
      <c r="K657" s="7">
        <v>350</v>
      </c>
      <c r="L657" s="7">
        <v>35.25</v>
      </c>
      <c r="M657" s="7">
        <f>(International_Education_Costs!$G657+International_Education_Costs!$I657+International_Education_Costs!$J657+International_Education_Costs!$K657)*International_Education_Costs!$L657</f>
        <v>448732.5</v>
      </c>
      <c r="N657" s="7">
        <f>International_Education_Costs!$G657+International_Education_Costs!$I657+International_Education_Costs!$J657+International_Education_Costs!$K657</f>
        <v>12730</v>
      </c>
    </row>
    <row r="658" spans="1:14" x14ac:dyDescent="0.3">
      <c r="A658" s="4" t="s">
        <v>41</v>
      </c>
      <c r="B658" s="4" t="s">
        <v>41</v>
      </c>
      <c r="C658" s="4" t="s">
        <v>406</v>
      </c>
      <c r="D658" s="4" t="s">
        <v>15</v>
      </c>
      <c r="E658" s="4" t="s">
        <v>122</v>
      </c>
      <c r="F658" s="4">
        <v>4</v>
      </c>
      <c r="G658" s="5">
        <v>40000</v>
      </c>
      <c r="H658" s="24">
        <v>83.8</v>
      </c>
      <c r="I658" s="16">
        <v>1100</v>
      </c>
      <c r="J658" s="5">
        <v>90</v>
      </c>
      <c r="K658" s="5">
        <v>800</v>
      </c>
      <c r="L658" s="5">
        <v>1.35</v>
      </c>
      <c r="M658" s="5">
        <f>(International_Education_Costs!$G658+International_Education_Costs!$I658+International_Education_Costs!$J658+International_Education_Costs!$K658)*International_Education_Costs!$L658</f>
        <v>56686.500000000007</v>
      </c>
      <c r="N658" s="5">
        <f>International_Education_Costs!$G658+International_Education_Costs!$I658+International_Education_Costs!$J658+International_Education_Costs!$K658</f>
        <v>41990</v>
      </c>
    </row>
    <row r="659" spans="1:14" x14ac:dyDescent="0.3">
      <c r="A659" s="6" t="s">
        <v>355</v>
      </c>
      <c r="B659" s="6" t="s">
        <v>919</v>
      </c>
      <c r="C659" s="6" t="s">
        <v>920</v>
      </c>
      <c r="D659" s="6" t="s">
        <v>137</v>
      </c>
      <c r="E659" s="6" t="s">
        <v>16</v>
      </c>
      <c r="F659" s="6">
        <v>2</v>
      </c>
      <c r="G659" s="7">
        <v>27000</v>
      </c>
      <c r="H659" s="25">
        <v>71.8</v>
      </c>
      <c r="I659" s="17">
        <v>1000</v>
      </c>
      <c r="J659" s="7">
        <v>270</v>
      </c>
      <c r="K659" s="7">
        <v>750</v>
      </c>
      <c r="L659" s="7">
        <v>3.67</v>
      </c>
      <c r="M659" s="7">
        <f>(International_Education_Costs!$G659+International_Education_Costs!$I659+International_Education_Costs!$J659+International_Education_Costs!$K659)*International_Education_Costs!$L659</f>
        <v>106503.4</v>
      </c>
      <c r="N659" s="7">
        <f>International_Education_Costs!$G659+International_Education_Costs!$I659+International_Education_Costs!$J659+International_Education_Costs!$K659</f>
        <v>29020</v>
      </c>
    </row>
    <row r="660" spans="1:14" x14ac:dyDescent="0.3">
      <c r="A660" s="4" t="s">
        <v>336</v>
      </c>
      <c r="B660" s="4" t="s">
        <v>921</v>
      </c>
      <c r="C660" s="4" t="s">
        <v>922</v>
      </c>
      <c r="D660" s="4" t="s">
        <v>63</v>
      </c>
      <c r="E660" s="4" t="s">
        <v>16</v>
      </c>
      <c r="F660" s="4">
        <v>2</v>
      </c>
      <c r="G660" s="5">
        <v>0</v>
      </c>
      <c r="H660" s="24">
        <v>51.4</v>
      </c>
      <c r="I660" s="16">
        <v>450</v>
      </c>
      <c r="J660" s="5">
        <v>90</v>
      </c>
      <c r="K660" s="5">
        <v>400</v>
      </c>
      <c r="L660" s="5">
        <v>4.95</v>
      </c>
      <c r="M660" s="5">
        <f>(International_Education_Costs!$G660+International_Education_Costs!$I660+International_Education_Costs!$J660+International_Education_Costs!$K660)*International_Education_Costs!$L660</f>
        <v>4653</v>
      </c>
      <c r="N660" s="5">
        <f>International_Education_Costs!$G660+International_Education_Costs!$I660+International_Education_Costs!$J660+International_Education_Costs!$K660</f>
        <v>940</v>
      </c>
    </row>
    <row r="661" spans="1:14" x14ac:dyDescent="0.3">
      <c r="A661" s="6" t="s">
        <v>156</v>
      </c>
      <c r="B661" s="6" t="s">
        <v>923</v>
      </c>
      <c r="C661" s="6" t="s">
        <v>924</v>
      </c>
      <c r="D661" s="6" t="s">
        <v>40</v>
      </c>
      <c r="E661" s="6" t="s">
        <v>122</v>
      </c>
      <c r="F661" s="6">
        <v>4</v>
      </c>
      <c r="G661" s="7">
        <v>1900</v>
      </c>
      <c r="H661" s="25">
        <v>44.8</v>
      </c>
      <c r="I661" s="17">
        <v>320</v>
      </c>
      <c r="J661" s="7">
        <v>180</v>
      </c>
      <c r="K661" s="7">
        <v>300</v>
      </c>
      <c r="L661" s="7">
        <v>82.75</v>
      </c>
      <c r="M661" s="7">
        <f>(International_Education_Costs!$G661+International_Education_Costs!$I661+International_Education_Costs!$J661+International_Education_Costs!$K661)*International_Education_Costs!$L661</f>
        <v>223425</v>
      </c>
      <c r="N661" s="7">
        <f>International_Education_Costs!$G661+International_Education_Costs!$I661+International_Education_Costs!$J661+International_Education_Costs!$K661</f>
        <v>2700</v>
      </c>
    </row>
    <row r="662" spans="1:14" x14ac:dyDescent="0.3">
      <c r="A662" s="4" t="s">
        <v>352</v>
      </c>
      <c r="B662" s="4" t="s">
        <v>925</v>
      </c>
      <c r="C662" s="4" t="s">
        <v>926</v>
      </c>
      <c r="D662" s="4" t="s">
        <v>223</v>
      </c>
      <c r="E662" s="4" t="s">
        <v>16</v>
      </c>
      <c r="F662" s="4">
        <v>2</v>
      </c>
      <c r="G662" s="5">
        <v>11000</v>
      </c>
      <c r="H662" s="24">
        <v>42.5</v>
      </c>
      <c r="I662" s="16">
        <v>250</v>
      </c>
      <c r="J662" s="5">
        <v>80</v>
      </c>
      <c r="K662" s="5">
        <v>350</v>
      </c>
      <c r="L662" s="5">
        <v>35.25</v>
      </c>
      <c r="M662" s="5">
        <f>(International_Education_Costs!$G662+International_Education_Costs!$I662+International_Education_Costs!$J662+International_Education_Costs!$K662)*International_Education_Costs!$L662</f>
        <v>411720</v>
      </c>
      <c r="N662" s="5">
        <f>International_Education_Costs!$G662+International_Education_Costs!$I662+International_Education_Costs!$J662+International_Education_Costs!$K662</f>
        <v>11680</v>
      </c>
    </row>
    <row r="663" spans="1:14" x14ac:dyDescent="0.3">
      <c r="A663" s="6" t="s">
        <v>367</v>
      </c>
      <c r="B663" s="6" t="s">
        <v>927</v>
      </c>
      <c r="C663" s="6" t="s">
        <v>928</v>
      </c>
      <c r="D663" s="6" t="s">
        <v>208</v>
      </c>
      <c r="E663" s="6" t="s">
        <v>16</v>
      </c>
      <c r="F663" s="6">
        <v>2</v>
      </c>
      <c r="G663" s="7">
        <v>2200</v>
      </c>
      <c r="H663" s="25">
        <v>30.5</v>
      </c>
      <c r="I663" s="17">
        <v>200</v>
      </c>
      <c r="J663" s="7">
        <v>100</v>
      </c>
      <c r="K663" s="7">
        <v>200</v>
      </c>
      <c r="L663" s="7">
        <v>30.9</v>
      </c>
      <c r="M663" s="7">
        <f>(International_Education_Costs!$G663+International_Education_Costs!$I663+International_Education_Costs!$J663+International_Education_Costs!$K663)*International_Education_Costs!$L663</f>
        <v>83430</v>
      </c>
      <c r="N663" s="7">
        <f>International_Education_Costs!$G663+International_Education_Costs!$I663+International_Education_Costs!$J663+International_Education_Costs!$K663</f>
        <v>2700</v>
      </c>
    </row>
    <row r="664" spans="1:14" x14ac:dyDescent="0.3">
      <c r="A664" s="4" t="s">
        <v>41</v>
      </c>
      <c r="B664" s="4" t="s">
        <v>41</v>
      </c>
      <c r="C664" s="4" t="s">
        <v>407</v>
      </c>
      <c r="D664" s="4" t="s">
        <v>71</v>
      </c>
      <c r="E664" s="4" t="s">
        <v>75</v>
      </c>
      <c r="F664" s="4">
        <v>4</v>
      </c>
      <c r="G664" s="5">
        <v>38000</v>
      </c>
      <c r="H664" s="24">
        <v>83.8</v>
      </c>
      <c r="I664" s="16">
        <v>1150</v>
      </c>
      <c r="J664" s="5">
        <v>90</v>
      </c>
      <c r="K664" s="5">
        <v>800</v>
      </c>
      <c r="L664" s="5">
        <v>1.35</v>
      </c>
      <c r="M664" s="5">
        <f>(International_Education_Costs!$G664+International_Education_Costs!$I664+International_Education_Costs!$J664+International_Education_Costs!$K664)*International_Education_Costs!$L664</f>
        <v>54054</v>
      </c>
      <c r="N664" s="5">
        <f>International_Education_Costs!$G664+International_Education_Costs!$I664+International_Education_Costs!$J664+International_Education_Costs!$K664</f>
        <v>40040</v>
      </c>
    </row>
    <row r="665" spans="1:14" x14ac:dyDescent="0.3">
      <c r="A665" s="6" t="s">
        <v>355</v>
      </c>
      <c r="B665" s="6" t="s">
        <v>929</v>
      </c>
      <c r="C665" s="6" t="s">
        <v>930</v>
      </c>
      <c r="D665" s="6" t="s">
        <v>15</v>
      </c>
      <c r="E665" s="6" t="s">
        <v>122</v>
      </c>
      <c r="F665" s="6">
        <v>4</v>
      </c>
      <c r="G665" s="7">
        <v>26000</v>
      </c>
      <c r="H665" s="25">
        <v>68.5</v>
      </c>
      <c r="I665" s="17">
        <v>900</v>
      </c>
      <c r="J665" s="7">
        <v>270</v>
      </c>
      <c r="K665" s="7">
        <v>750</v>
      </c>
      <c r="L665" s="7">
        <v>3.67</v>
      </c>
      <c r="M665" s="7">
        <f>(International_Education_Costs!$G665+International_Education_Costs!$I665+International_Education_Costs!$J665+International_Education_Costs!$K665)*International_Education_Costs!$L665</f>
        <v>102466.4</v>
      </c>
      <c r="N665" s="7">
        <f>International_Education_Costs!$G665+International_Education_Costs!$I665+International_Education_Costs!$J665+International_Education_Costs!$K665</f>
        <v>27920</v>
      </c>
    </row>
    <row r="666" spans="1:14" x14ac:dyDescent="0.3">
      <c r="A666" s="4" t="s">
        <v>336</v>
      </c>
      <c r="B666" s="4" t="s">
        <v>931</v>
      </c>
      <c r="C666" s="4" t="s">
        <v>932</v>
      </c>
      <c r="D666" s="4" t="s">
        <v>20</v>
      </c>
      <c r="E666" s="4" t="s">
        <v>75</v>
      </c>
      <c r="F666" s="4">
        <v>4</v>
      </c>
      <c r="G666" s="5">
        <v>0</v>
      </c>
      <c r="H666" s="24">
        <v>49.8</v>
      </c>
      <c r="I666" s="16">
        <v>400</v>
      </c>
      <c r="J666" s="5">
        <v>90</v>
      </c>
      <c r="K666" s="5">
        <v>400</v>
      </c>
      <c r="L666" s="5">
        <v>4.95</v>
      </c>
      <c r="M666" s="5">
        <f>(International_Education_Costs!$G666+International_Education_Costs!$I666+International_Education_Costs!$J666+International_Education_Costs!$K666)*International_Education_Costs!$L666</f>
        <v>4405.5</v>
      </c>
      <c r="N666" s="5">
        <f>International_Education_Costs!$G666+International_Education_Costs!$I666+International_Education_Costs!$J666+International_Education_Costs!$K666</f>
        <v>890</v>
      </c>
    </row>
    <row r="667" spans="1:14" x14ac:dyDescent="0.3">
      <c r="A667" s="6" t="s">
        <v>156</v>
      </c>
      <c r="B667" s="6" t="s">
        <v>933</v>
      </c>
      <c r="C667" s="6" t="s">
        <v>934</v>
      </c>
      <c r="D667" s="6" t="s">
        <v>208</v>
      </c>
      <c r="E667" s="6" t="s">
        <v>16</v>
      </c>
      <c r="F667" s="6">
        <v>2</v>
      </c>
      <c r="G667" s="7">
        <v>1700</v>
      </c>
      <c r="H667" s="25">
        <v>42.4</v>
      </c>
      <c r="I667" s="17">
        <v>280</v>
      </c>
      <c r="J667" s="7">
        <v>180</v>
      </c>
      <c r="K667" s="7">
        <v>300</v>
      </c>
      <c r="L667" s="7">
        <v>82.75</v>
      </c>
      <c r="M667" s="7">
        <f>(International_Education_Costs!$G667+International_Education_Costs!$I667+International_Education_Costs!$J667+International_Education_Costs!$K667)*International_Education_Costs!$L667</f>
        <v>203565</v>
      </c>
      <c r="N667" s="7">
        <f>International_Education_Costs!$G667+International_Education_Costs!$I667+International_Education_Costs!$J667+International_Education_Costs!$K667</f>
        <v>2460</v>
      </c>
    </row>
    <row r="668" spans="1:14" x14ac:dyDescent="0.3">
      <c r="A668" s="4" t="s">
        <v>352</v>
      </c>
      <c r="B668" s="4" t="s">
        <v>935</v>
      </c>
      <c r="C668" s="4" t="s">
        <v>936</v>
      </c>
      <c r="D668" s="4" t="s">
        <v>63</v>
      </c>
      <c r="E668" s="4" t="s">
        <v>16</v>
      </c>
      <c r="F668" s="4">
        <v>2</v>
      </c>
      <c r="G668" s="5">
        <v>10000</v>
      </c>
      <c r="H668" s="24">
        <v>44.8</v>
      </c>
      <c r="I668" s="16">
        <v>300</v>
      </c>
      <c r="J668" s="5">
        <v>80</v>
      </c>
      <c r="K668" s="5">
        <v>350</v>
      </c>
      <c r="L668" s="5">
        <v>35.25</v>
      </c>
      <c r="M668" s="5">
        <f>(International_Education_Costs!$G668+International_Education_Costs!$I668+International_Education_Costs!$J668+International_Education_Costs!$K668)*International_Education_Costs!$L668</f>
        <v>378232.5</v>
      </c>
      <c r="N668" s="5">
        <f>International_Education_Costs!$G668+International_Education_Costs!$I668+International_Education_Costs!$J668+International_Education_Costs!$K668</f>
        <v>10730</v>
      </c>
    </row>
    <row r="669" spans="1:14" x14ac:dyDescent="0.3">
      <c r="A669" s="6" t="s">
        <v>367</v>
      </c>
      <c r="B669" s="6" t="s">
        <v>937</v>
      </c>
      <c r="C669" s="6" t="s">
        <v>938</v>
      </c>
      <c r="D669" s="6" t="s">
        <v>20</v>
      </c>
      <c r="E669" s="6" t="s">
        <v>122</v>
      </c>
      <c r="F669" s="6">
        <v>4</v>
      </c>
      <c r="G669" s="7">
        <v>2400</v>
      </c>
      <c r="H669" s="25">
        <v>31.2</v>
      </c>
      <c r="I669" s="17">
        <v>220</v>
      </c>
      <c r="J669" s="7">
        <v>100</v>
      </c>
      <c r="K669" s="7">
        <v>200</v>
      </c>
      <c r="L669" s="7">
        <v>30.9</v>
      </c>
      <c r="M669" s="7">
        <f>(International_Education_Costs!$G669+International_Education_Costs!$I669+International_Education_Costs!$J669+International_Education_Costs!$K669)*International_Education_Costs!$L669</f>
        <v>90228</v>
      </c>
      <c r="N669" s="7">
        <f>International_Education_Costs!$G669+International_Education_Costs!$I669+International_Education_Costs!$J669+International_Education_Costs!$K669</f>
        <v>2920</v>
      </c>
    </row>
    <row r="670" spans="1:14" x14ac:dyDescent="0.3">
      <c r="A670" s="4" t="s">
        <v>41</v>
      </c>
      <c r="B670" s="4" t="s">
        <v>41</v>
      </c>
      <c r="C670" s="4" t="s">
        <v>939</v>
      </c>
      <c r="D670" s="4" t="s">
        <v>40</v>
      </c>
      <c r="E670" s="4" t="s">
        <v>16</v>
      </c>
      <c r="F670" s="4">
        <v>2</v>
      </c>
      <c r="G670" s="5">
        <v>39000</v>
      </c>
      <c r="H670" s="24">
        <v>83.8</v>
      </c>
      <c r="I670" s="16">
        <v>1100</v>
      </c>
      <c r="J670" s="5">
        <v>90</v>
      </c>
      <c r="K670" s="5">
        <v>800</v>
      </c>
      <c r="L670" s="5">
        <v>1.35</v>
      </c>
      <c r="M670" s="5">
        <f>(International_Education_Costs!$G670+International_Education_Costs!$I670+International_Education_Costs!$J670+International_Education_Costs!$K670)*International_Education_Costs!$L670</f>
        <v>55336.500000000007</v>
      </c>
      <c r="N670" s="5">
        <f>International_Education_Costs!$G670+International_Education_Costs!$I670+International_Education_Costs!$J670+International_Education_Costs!$K670</f>
        <v>40990</v>
      </c>
    </row>
    <row r="671" spans="1:14" x14ac:dyDescent="0.3">
      <c r="A671" s="6" t="s">
        <v>355</v>
      </c>
      <c r="B671" s="6" t="s">
        <v>940</v>
      </c>
      <c r="C671" s="6" t="s">
        <v>941</v>
      </c>
      <c r="D671" s="6" t="s">
        <v>216</v>
      </c>
      <c r="E671" s="6" t="s">
        <v>75</v>
      </c>
      <c r="F671" s="6">
        <v>4</v>
      </c>
      <c r="G671" s="7">
        <v>23000</v>
      </c>
      <c r="H671" s="25">
        <v>65.400000000000006</v>
      </c>
      <c r="I671" s="17">
        <v>800</v>
      </c>
      <c r="J671" s="7">
        <v>270</v>
      </c>
      <c r="K671" s="7">
        <v>750</v>
      </c>
      <c r="L671" s="7">
        <v>3.67</v>
      </c>
      <c r="M671" s="7">
        <f>(International_Education_Costs!$G671+International_Education_Costs!$I671+International_Education_Costs!$J671+International_Education_Costs!$K671)*International_Education_Costs!$L671</f>
        <v>91089.4</v>
      </c>
      <c r="N671" s="7">
        <f>International_Education_Costs!$G671+International_Education_Costs!$I671+International_Education_Costs!$J671+International_Education_Costs!$K671</f>
        <v>24820</v>
      </c>
    </row>
    <row r="672" spans="1:14" x14ac:dyDescent="0.3">
      <c r="A672" s="4" t="s">
        <v>336</v>
      </c>
      <c r="B672" s="4" t="s">
        <v>942</v>
      </c>
      <c r="C672" s="4" t="s">
        <v>943</v>
      </c>
      <c r="D672" s="4" t="s">
        <v>63</v>
      </c>
      <c r="E672" s="4" t="s">
        <v>16</v>
      </c>
      <c r="F672" s="4">
        <v>2</v>
      </c>
      <c r="G672" s="5">
        <v>0</v>
      </c>
      <c r="H672" s="24">
        <v>47.5</v>
      </c>
      <c r="I672" s="16">
        <v>350</v>
      </c>
      <c r="J672" s="5">
        <v>90</v>
      </c>
      <c r="K672" s="5">
        <v>400</v>
      </c>
      <c r="L672" s="5">
        <v>4.95</v>
      </c>
      <c r="M672" s="5">
        <f>(International_Education_Costs!$G672+International_Education_Costs!$I672+International_Education_Costs!$J672+International_Education_Costs!$K672)*International_Education_Costs!$L672</f>
        <v>4158</v>
      </c>
      <c r="N672" s="5">
        <f>International_Education_Costs!$G672+International_Education_Costs!$I672+International_Education_Costs!$J672+International_Education_Costs!$K672</f>
        <v>840</v>
      </c>
    </row>
    <row r="673" spans="1:14" x14ac:dyDescent="0.3">
      <c r="A673" s="6" t="s">
        <v>156</v>
      </c>
      <c r="B673" s="6" t="s">
        <v>944</v>
      </c>
      <c r="C673" s="6" t="s">
        <v>945</v>
      </c>
      <c r="D673" s="6" t="s">
        <v>71</v>
      </c>
      <c r="E673" s="6" t="s">
        <v>122</v>
      </c>
      <c r="F673" s="6">
        <v>4</v>
      </c>
      <c r="G673" s="7">
        <v>1800</v>
      </c>
      <c r="H673" s="25">
        <v>41.2</v>
      </c>
      <c r="I673" s="17">
        <v>260</v>
      </c>
      <c r="J673" s="7">
        <v>180</v>
      </c>
      <c r="K673" s="7">
        <v>300</v>
      </c>
      <c r="L673" s="7">
        <v>82.75</v>
      </c>
      <c r="M673" s="7">
        <f>(International_Education_Costs!$G673+International_Education_Costs!$I673+International_Education_Costs!$J673+International_Education_Costs!$K673)*International_Education_Costs!$L673</f>
        <v>210185</v>
      </c>
      <c r="N673" s="7">
        <f>International_Education_Costs!$G673+International_Education_Costs!$I673+International_Education_Costs!$J673+International_Education_Costs!$K673</f>
        <v>2540</v>
      </c>
    </row>
    <row r="674" spans="1:14" x14ac:dyDescent="0.3">
      <c r="A674" s="4" t="s">
        <v>352</v>
      </c>
      <c r="B674" s="4" t="s">
        <v>946</v>
      </c>
      <c r="C674" s="4" t="s">
        <v>936</v>
      </c>
      <c r="D674" s="4" t="s">
        <v>208</v>
      </c>
      <c r="E674" s="4" t="s">
        <v>75</v>
      </c>
      <c r="F674" s="4">
        <v>4</v>
      </c>
      <c r="G674" s="5">
        <v>9500</v>
      </c>
      <c r="H674" s="24">
        <v>43.2</v>
      </c>
      <c r="I674" s="16">
        <v>280</v>
      </c>
      <c r="J674" s="5">
        <v>80</v>
      </c>
      <c r="K674" s="5">
        <v>350</v>
      </c>
      <c r="L674" s="5">
        <v>35.25</v>
      </c>
      <c r="M674" s="5">
        <f>(International_Education_Costs!$G674+International_Education_Costs!$I674+International_Education_Costs!$J674+International_Education_Costs!$K674)*International_Education_Costs!$L674</f>
        <v>359902.5</v>
      </c>
      <c r="N674" s="5">
        <f>International_Education_Costs!$G674+International_Education_Costs!$I674+International_Education_Costs!$J674+International_Education_Costs!$K674</f>
        <v>10210</v>
      </c>
    </row>
    <row r="675" spans="1:14" x14ac:dyDescent="0.3">
      <c r="A675" s="6" t="s">
        <v>367</v>
      </c>
      <c r="B675" s="6" t="s">
        <v>947</v>
      </c>
      <c r="C675" s="6" t="s">
        <v>948</v>
      </c>
      <c r="D675" s="6" t="s">
        <v>15</v>
      </c>
      <c r="E675" s="6" t="s">
        <v>16</v>
      </c>
      <c r="F675" s="6">
        <v>2</v>
      </c>
      <c r="G675" s="7">
        <v>2100</v>
      </c>
      <c r="H675" s="25">
        <v>29.8</v>
      </c>
      <c r="I675" s="17">
        <v>180</v>
      </c>
      <c r="J675" s="7">
        <v>100</v>
      </c>
      <c r="K675" s="7">
        <v>200</v>
      </c>
      <c r="L675" s="7">
        <v>30.9</v>
      </c>
      <c r="M675" s="7">
        <f>(International_Education_Costs!$G675+International_Education_Costs!$I675+International_Education_Costs!$J675+International_Education_Costs!$K675)*International_Education_Costs!$L675</f>
        <v>79722</v>
      </c>
      <c r="N675" s="7">
        <f>International_Education_Costs!$G675+International_Education_Costs!$I675+International_Education_Costs!$J675+International_Education_Costs!$K675</f>
        <v>2580</v>
      </c>
    </row>
    <row r="676" spans="1:14" x14ac:dyDescent="0.3">
      <c r="A676" s="4" t="s">
        <v>41</v>
      </c>
      <c r="B676" s="4" t="s">
        <v>41</v>
      </c>
      <c r="C676" s="4" t="s">
        <v>408</v>
      </c>
      <c r="D676" s="4" t="s">
        <v>137</v>
      </c>
      <c r="E676" s="4" t="s">
        <v>122</v>
      </c>
      <c r="F676" s="4">
        <v>4</v>
      </c>
      <c r="G676" s="5">
        <v>37000</v>
      </c>
      <c r="H676" s="24">
        <v>83.8</v>
      </c>
      <c r="I676" s="16">
        <v>1050</v>
      </c>
      <c r="J676" s="5">
        <v>90</v>
      </c>
      <c r="K676" s="5">
        <v>800</v>
      </c>
      <c r="L676" s="5">
        <v>1.35</v>
      </c>
      <c r="M676" s="5">
        <f>(International_Education_Costs!$G676+International_Education_Costs!$I676+International_Education_Costs!$J676+International_Education_Costs!$K676)*International_Education_Costs!$L676</f>
        <v>52569</v>
      </c>
      <c r="N676" s="5">
        <f>International_Education_Costs!$G676+International_Education_Costs!$I676+International_Education_Costs!$J676+International_Education_Costs!$K676</f>
        <v>38940</v>
      </c>
    </row>
    <row r="677" spans="1:14" x14ac:dyDescent="0.3">
      <c r="A677" s="6" t="s">
        <v>355</v>
      </c>
      <c r="B677" s="6" t="s">
        <v>949</v>
      </c>
      <c r="C677" s="6" t="s">
        <v>950</v>
      </c>
      <c r="D677" s="6" t="s">
        <v>20</v>
      </c>
      <c r="E677" s="6" t="s">
        <v>16</v>
      </c>
      <c r="F677" s="6">
        <v>2</v>
      </c>
      <c r="G677" s="7">
        <v>24000</v>
      </c>
      <c r="H677" s="25">
        <v>64.2</v>
      </c>
      <c r="I677" s="17">
        <v>750</v>
      </c>
      <c r="J677" s="7">
        <v>270</v>
      </c>
      <c r="K677" s="7">
        <v>750</v>
      </c>
      <c r="L677" s="7">
        <v>3.67</v>
      </c>
      <c r="M677" s="7">
        <f>(International_Education_Costs!$G677+International_Education_Costs!$I677+International_Education_Costs!$J677+International_Education_Costs!$K677)*International_Education_Costs!$L677</f>
        <v>94575.9</v>
      </c>
      <c r="N677" s="7">
        <f>International_Education_Costs!$G677+International_Education_Costs!$I677+International_Education_Costs!$J677+International_Education_Costs!$K677</f>
        <v>25770</v>
      </c>
    </row>
    <row r="678" spans="1:14" x14ac:dyDescent="0.3">
      <c r="A678" s="4" t="s">
        <v>336</v>
      </c>
      <c r="B678" s="4" t="s">
        <v>951</v>
      </c>
      <c r="C678" s="4" t="s">
        <v>952</v>
      </c>
      <c r="D678" s="4" t="s">
        <v>223</v>
      </c>
      <c r="E678" s="4" t="s">
        <v>122</v>
      </c>
      <c r="F678" s="4">
        <v>4</v>
      </c>
      <c r="G678" s="5">
        <v>0</v>
      </c>
      <c r="H678" s="24">
        <v>48.9</v>
      </c>
      <c r="I678" s="16">
        <v>400</v>
      </c>
      <c r="J678" s="5">
        <v>90</v>
      </c>
      <c r="K678" s="5">
        <v>400</v>
      </c>
      <c r="L678" s="5">
        <v>4.95</v>
      </c>
      <c r="M678" s="5">
        <f>(International_Education_Costs!$G678+International_Education_Costs!$I678+International_Education_Costs!$J678+International_Education_Costs!$K678)*International_Education_Costs!$L678</f>
        <v>4405.5</v>
      </c>
      <c r="N678" s="5">
        <f>International_Education_Costs!$G678+International_Education_Costs!$I678+International_Education_Costs!$J678+International_Education_Costs!$K678</f>
        <v>890</v>
      </c>
    </row>
    <row r="679" spans="1:14" x14ac:dyDescent="0.3">
      <c r="A679" s="6" t="s">
        <v>156</v>
      </c>
      <c r="B679" s="6" t="s">
        <v>953</v>
      </c>
      <c r="C679" s="6" t="s">
        <v>954</v>
      </c>
      <c r="D679" s="6" t="s">
        <v>15</v>
      </c>
      <c r="E679" s="6" t="s">
        <v>16</v>
      </c>
      <c r="F679" s="6">
        <v>2</v>
      </c>
      <c r="G679" s="7">
        <v>1600</v>
      </c>
      <c r="H679" s="25">
        <v>40.5</v>
      </c>
      <c r="I679" s="17">
        <v>250</v>
      </c>
      <c r="J679" s="7">
        <v>180</v>
      </c>
      <c r="K679" s="7">
        <v>300</v>
      </c>
      <c r="L679" s="7">
        <v>82.75</v>
      </c>
      <c r="M679" s="7">
        <f>(International_Education_Costs!$G679+International_Education_Costs!$I679+International_Education_Costs!$J679+International_Education_Costs!$K679)*International_Education_Costs!$L679</f>
        <v>192807.5</v>
      </c>
      <c r="N679" s="7">
        <f>International_Education_Costs!$G679+International_Education_Costs!$I679+International_Education_Costs!$J679+International_Education_Costs!$K679</f>
        <v>2330</v>
      </c>
    </row>
    <row r="680" spans="1:14" x14ac:dyDescent="0.3">
      <c r="A680" s="4" t="s">
        <v>352</v>
      </c>
      <c r="B680" s="4" t="s">
        <v>955</v>
      </c>
      <c r="C680" s="4" t="s">
        <v>956</v>
      </c>
      <c r="D680" s="4" t="s">
        <v>252</v>
      </c>
      <c r="E680" s="4" t="s">
        <v>16</v>
      </c>
      <c r="F680" s="4">
        <v>2</v>
      </c>
      <c r="G680" s="5">
        <v>9000</v>
      </c>
      <c r="H680" s="24">
        <v>41.8</v>
      </c>
      <c r="I680" s="16">
        <v>250</v>
      </c>
      <c r="J680" s="5">
        <v>80</v>
      </c>
      <c r="K680" s="5">
        <v>350</v>
      </c>
      <c r="L680" s="5">
        <v>35.25</v>
      </c>
      <c r="M680" s="5">
        <f>(International_Education_Costs!$G680+International_Education_Costs!$I680+International_Education_Costs!$J680+International_Education_Costs!$K680)*International_Education_Costs!$L680</f>
        <v>341220</v>
      </c>
      <c r="N680" s="5">
        <f>International_Education_Costs!$G680+International_Education_Costs!$I680+International_Education_Costs!$J680+International_Education_Costs!$K680</f>
        <v>9680</v>
      </c>
    </row>
    <row r="681" spans="1:14" x14ac:dyDescent="0.3">
      <c r="A681" s="6" t="s">
        <v>367</v>
      </c>
      <c r="B681" s="6" t="s">
        <v>957</v>
      </c>
      <c r="C681" s="6" t="s">
        <v>958</v>
      </c>
      <c r="D681" s="6" t="s">
        <v>216</v>
      </c>
      <c r="E681" s="6" t="s">
        <v>75</v>
      </c>
      <c r="F681" s="6">
        <v>4</v>
      </c>
      <c r="G681" s="7">
        <v>2000</v>
      </c>
      <c r="H681" s="25">
        <v>28.5</v>
      </c>
      <c r="I681" s="17">
        <v>170</v>
      </c>
      <c r="J681" s="7">
        <v>100</v>
      </c>
      <c r="K681" s="7">
        <v>200</v>
      </c>
      <c r="L681" s="7">
        <v>30.9</v>
      </c>
      <c r="M681" s="7">
        <f>(International_Education_Costs!$G681+International_Education_Costs!$I681+International_Education_Costs!$J681+International_Education_Costs!$K681)*International_Education_Costs!$L681</f>
        <v>76323</v>
      </c>
      <c r="N681" s="7">
        <f>International_Education_Costs!$G681+International_Education_Costs!$I681+International_Education_Costs!$J681+International_Education_Costs!$K681</f>
        <v>2470</v>
      </c>
    </row>
    <row r="682" spans="1:14" x14ac:dyDescent="0.3">
      <c r="A682" s="4" t="s">
        <v>41</v>
      </c>
      <c r="B682" s="4" t="s">
        <v>41</v>
      </c>
      <c r="C682" s="4" t="s">
        <v>959</v>
      </c>
      <c r="D682" s="4" t="s">
        <v>208</v>
      </c>
      <c r="E682" s="4" t="s">
        <v>75</v>
      </c>
      <c r="F682" s="4">
        <v>4</v>
      </c>
      <c r="G682" s="5">
        <v>35000</v>
      </c>
      <c r="H682" s="24">
        <v>83.8</v>
      </c>
      <c r="I682" s="16">
        <v>1000</v>
      </c>
      <c r="J682" s="5">
        <v>90</v>
      </c>
      <c r="K682" s="5">
        <v>800</v>
      </c>
      <c r="L682" s="5">
        <v>1.35</v>
      </c>
      <c r="M682" s="5">
        <f>(International_Education_Costs!$G682+International_Education_Costs!$I682+International_Education_Costs!$J682+International_Education_Costs!$K682)*International_Education_Costs!$L682</f>
        <v>49801.5</v>
      </c>
      <c r="N682" s="5">
        <f>International_Education_Costs!$G682+International_Education_Costs!$I682+International_Education_Costs!$J682+International_Education_Costs!$K682</f>
        <v>36890</v>
      </c>
    </row>
    <row r="683" spans="1:14" x14ac:dyDescent="0.3">
      <c r="A683" s="6" t="s">
        <v>355</v>
      </c>
      <c r="B683" s="6" t="s">
        <v>960</v>
      </c>
      <c r="C683" s="6" t="s">
        <v>961</v>
      </c>
      <c r="D683" s="6" t="s">
        <v>63</v>
      </c>
      <c r="E683" s="6" t="s">
        <v>16</v>
      </c>
      <c r="F683" s="6">
        <v>2</v>
      </c>
      <c r="G683" s="7">
        <v>22000</v>
      </c>
      <c r="H683" s="25">
        <v>62.5</v>
      </c>
      <c r="I683" s="17">
        <v>700</v>
      </c>
      <c r="J683" s="7">
        <v>270</v>
      </c>
      <c r="K683" s="7">
        <v>750</v>
      </c>
      <c r="L683" s="7">
        <v>3.67</v>
      </c>
      <c r="M683" s="7">
        <f>(International_Education_Costs!$G683+International_Education_Costs!$I683+International_Education_Costs!$J683+International_Education_Costs!$K683)*International_Education_Costs!$L683</f>
        <v>87052.4</v>
      </c>
      <c r="N683" s="7">
        <f>International_Education_Costs!$G683+International_Education_Costs!$I683+International_Education_Costs!$J683+International_Education_Costs!$K683</f>
        <v>23720</v>
      </c>
    </row>
    <row r="684" spans="1:14" x14ac:dyDescent="0.3">
      <c r="A684" s="4" t="s">
        <v>336</v>
      </c>
      <c r="B684" s="4" t="s">
        <v>962</v>
      </c>
      <c r="C684" s="4" t="s">
        <v>963</v>
      </c>
      <c r="D684" s="4" t="s">
        <v>20</v>
      </c>
      <c r="E684" s="4" t="s">
        <v>16</v>
      </c>
      <c r="F684" s="4">
        <v>2</v>
      </c>
      <c r="G684" s="5">
        <v>0</v>
      </c>
      <c r="H684" s="24">
        <v>46.8</v>
      </c>
      <c r="I684" s="16">
        <v>380</v>
      </c>
      <c r="J684" s="5">
        <v>90</v>
      </c>
      <c r="K684" s="5">
        <v>400</v>
      </c>
      <c r="L684" s="5">
        <v>4.95</v>
      </c>
      <c r="M684" s="5">
        <f>(International_Education_Costs!$G684+International_Education_Costs!$I684+International_Education_Costs!$J684+International_Education_Costs!$K684)*International_Education_Costs!$L684</f>
        <v>4306.5</v>
      </c>
      <c r="N684" s="5">
        <f>International_Education_Costs!$G684+International_Education_Costs!$I684+International_Education_Costs!$J684+International_Education_Costs!$K684</f>
        <v>870</v>
      </c>
    </row>
    <row r="685" spans="1:14" x14ac:dyDescent="0.3">
      <c r="A685" s="6" t="s">
        <v>156</v>
      </c>
      <c r="B685" s="6" t="s">
        <v>964</v>
      </c>
      <c r="C685" s="6" t="s">
        <v>965</v>
      </c>
      <c r="D685" s="6" t="s">
        <v>40</v>
      </c>
      <c r="E685" s="6" t="s">
        <v>122</v>
      </c>
      <c r="F685" s="6">
        <v>4</v>
      </c>
      <c r="G685" s="7">
        <v>1900</v>
      </c>
      <c r="H685" s="25">
        <v>39.799999999999997</v>
      </c>
      <c r="I685" s="17">
        <v>240</v>
      </c>
      <c r="J685" s="7">
        <v>180</v>
      </c>
      <c r="K685" s="7">
        <v>300</v>
      </c>
      <c r="L685" s="7">
        <v>82.75</v>
      </c>
      <c r="M685" s="7">
        <f>(International_Education_Costs!$G685+International_Education_Costs!$I685+International_Education_Costs!$J685+International_Education_Costs!$K685)*International_Education_Costs!$L685</f>
        <v>216805</v>
      </c>
      <c r="N685" s="7">
        <f>International_Education_Costs!$G685+International_Education_Costs!$I685+International_Education_Costs!$J685+International_Education_Costs!$K685</f>
        <v>2620</v>
      </c>
    </row>
    <row r="686" spans="1:14" x14ac:dyDescent="0.3">
      <c r="A686" s="4" t="s">
        <v>352</v>
      </c>
      <c r="B686" s="4" t="s">
        <v>966</v>
      </c>
      <c r="C686" s="4" t="s">
        <v>967</v>
      </c>
      <c r="D686" s="4" t="s">
        <v>63</v>
      </c>
      <c r="E686" s="4" t="s">
        <v>75</v>
      </c>
      <c r="F686" s="4">
        <v>4</v>
      </c>
      <c r="G686" s="5">
        <v>8500</v>
      </c>
      <c r="H686" s="24">
        <v>42.5</v>
      </c>
      <c r="I686" s="16">
        <v>270</v>
      </c>
      <c r="J686" s="5">
        <v>80</v>
      </c>
      <c r="K686" s="5">
        <v>350</v>
      </c>
      <c r="L686" s="5">
        <v>35.25</v>
      </c>
      <c r="M686" s="5">
        <f>(International_Education_Costs!$G686+International_Education_Costs!$I686+International_Education_Costs!$J686+International_Education_Costs!$K686)*International_Education_Costs!$L686</f>
        <v>324300</v>
      </c>
      <c r="N686" s="5">
        <f>International_Education_Costs!$G686+International_Education_Costs!$I686+International_Education_Costs!$J686+International_Education_Costs!$K686</f>
        <v>9200</v>
      </c>
    </row>
    <row r="687" spans="1:14" x14ac:dyDescent="0.3">
      <c r="A687" s="6" t="s">
        <v>367</v>
      </c>
      <c r="B687" s="6" t="s">
        <v>968</v>
      </c>
      <c r="C687" s="6" t="s">
        <v>969</v>
      </c>
      <c r="D687" s="6" t="s">
        <v>71</v>
      </c>
      <c r="E687" s="6" t="s">
        <v>16</v>
      </c>
      <c r="F687" s="6">
        <v>2</v>
      </c>
      <c r="G687" s="7">
        <v>1900</v>
      </c>
      <c r="H687" s="25">
        <v>27.8</v>
      </c>
      <c r="I687" s="17">
        <v>160</v>
      </c>
      <c r="J687" s="7">
        <v>100</v>
      </c>
      <c r="K687" s="7">
        <v>200</v>
      </c>
      <c r="L687" s="7">
        <v>30.9</v>
      </c>
      <c r="M687" s="7">
        <f>(International_Education_Costs!$G687+International_Education_Costs!$I687+International_Education_Costs!$J687+International_Education_Costs!$K687)*International_Education_Costs!$L687</f>
        <v>72924</v>
      </c>
      <c r="N687" s="7">
        <f>International_Education_Costs!$G687+International_Education_Costs!$I687+International_Education_Costs!$J687+International_Education_Costs!$K687</f>
        <v>2360</v>
      </c>
    </row>
    <row r="688" spans="1:14" x14ac:dyDescent="0.3">
      <c r="A688" s="4" t="s">
        <v>355</v>
      </c>
      <c r="B688" s="4" t="s">
        <v>970</v>
      </c>
      <c r="C688" s="4" t="s">
        <v>971</v>
      </c>
      <c r="D688" s="4" t="s">
        <v>223</v>
      </c>
      <c r="E688" s="4" t="s">
        <v>75</v>
      </c>
      <c r="F688" s="4">
        <v>4</v>
      </c>
      <c r="G688" s="5">
        <v>21000</v>
      </c>
      <c r="H688" s="24">
        <v>61.4</v>
      </c>
      <c r="I688" s="16">
        <v>650</v>
      </c>
      <c r="J688" s="5">
        <v>270</v>
      </c>
      <c r="K688" s="5">
        <v>750</v>
      </c>
      <c r="L688" s="5">
        <v>3.67</v>
      </c>
      <c r="M688" s="5">
        <f>(International_Education_Costs!$G688+International_Education_Costs!$I688+International_Education_Costs!$J688+International_Education_Costs!$K688)*International_Education_Costs!$L688</f>
        <v>83198.899999999994</v>
      </c>
      <c r="N688" s="5">
        <f>International_Education_Costs!$G688+International_Education_Costs!$I688+International_Education_Costs!$J688+International_Education_Costs!$K688</f>
        <v>22670</v>
      </c>
    </row>
    <row r="689" spans="1:14" x14ac:dyDescent="0.3">
      <c r="A689" s="6" t="s">
        <v>972</v>
      </c>
      <c r="B689" s="6" t="s">
        <v>973</v>
      </c>
      <c r="C689" s="6" t="s">
        <v>974</v>
      </c>
      <c r="D689" s="6" t="s">
        <v>15</v>
      </c>
      <c r="E689" s="6" t="s">
        <v>16</v>
      </c>
      <c r="F689" s="6">
        <v>2</v>
      </c>
      <c r="G689" s="7">
        <v>0</v>
      </c>
      <c r="H689" s="25">
        <v>84.5</v>
      </c>
      <c r="I689" s="17">
        <v>1200</v>
      </c>
      <c r="J689" s="7">
        <v>140</v>
      </c>
      <c r="K689" s="7">
        <v>900</v>
      </c>
      <c r="L689" s="7">
        <v>137.5</v>
      </c>
      <c r="M689" s="7">
        <f>(International_Education_Costs!$G689+International_Education_Costs!$I689+International_Education_Costs!$J689+International_Education_Costs!$K689)*International_Education_Costs!$L689</f>
        <v>308000</v>
      </c>
      <c r="N689" s="7">
        <f>International_Education_Costs!$G689+International_Education_Costs!$I689+International_Education_Costs!$J689+International_Education_Costs!$K689</f>
        <v>2240</v>
      </c>
    </row>
    <row r="690" spans="1:14" x14ac:dyDescent="0.3">
      <c r="A690" s="4" t="s">
        <v>975</v>
      </c>
      <c r="B690" s="4" t="s">
        <v>976</v>
      </c>
      <c r="C690" s="4" t="s">
        <v>977</v>
      </c>
      <c r="D690" s="4" t="s">
        <v>208</v>
      </c>
      <c r="E690" s="4" t="s">
        <v>16</v>
      </c>
      <c r="F690" s="4">
        <v>2</v>
      </c>
      <c r="G690" s="5">
        <v>3500</v>
      </c>
      <c r="H690" s="24">
        <v>41.2</v>
      </c>
      <c r="I690" s="16">
        <v>400</v>
      </c>
      <c r="J690" s="5">
        <v>80</v>
      </c>
      <c r="K690" s="5">
        <v>300</v>
      </c>
      <c r="L690" s="5">
        <v>3950</v>
      </c>
      <c r="M690" s="5">
        <f>(International_Education_Costs!$G690+International_Education_Costs!$I690+International_Education_Costs!$J690+International_Education_Costs!$K690)*International_Education_Costs!$L690</f>
        <v>16906000</v>
      </c>
      <c r="N690" s="5">
        <f>International_Education_Costs!$G690+International_Education_Costs!$I690+International_Education_Costs!$J690+International_Education_Costs!$K690</f>
        <v>4280</v>
      </c>
    </row>
    <row r="691" spans="1:14" x14ac:dyDescent="0.3">
      <c r="A691" s="6" t="s">
        <v>161</v>
      </c>
      <c r="B691" s="6" t="s">
        <v>162</v>
      </c>
      <c r="C691" s="6" t="s">
        <v>163</v>
      </c>
      <c r="D691" s="6" t="s">
        <v>20</v>
      </c>
      <c r="E691" s="6" t="s">
        <v>122</v>
      </c>
      <c r="F691" s="6">
        <v>4</v>
      </c>
      <c r="G691" s="7">
        <v>3000</v>
      </c>
      <c r="H691" s="25">
        <v>54.8</v>
      </c>
      <c r="I691" s="17">
        <v>650</v>
      </c>
      <c r="J691" s="7">
        <v>80</v>
      </c>
      <c r="K691" s="7">
        <v>400</v>
      </c>
      <c r="L691" s="7">
        <v>4.0999999999999996</v>
      </c>
      <c r="M691" s="7">
        <f>(International_Education_Costs!$G691+International_Education_Costs!$I691+International_Education_Costs!$J691+International_Education_Costs!$K691)*International_Education_Costs!$L691</f>
        <v>16933</v>
      </c>
      <c r="N691" s="7">
        <f>International_Education_Costs!$G691+International_Education_Costs!$I691+International_Education_Costs!$J691+International_Education_Costs!$K691</f>
        <v>4130</v>
      </c>
    </row>
    <row r="692" spans="1:14" x14ac:dyDescent="0.3">
      <c r="A692" s="4" t="s">
        <v>978</v>
      </c>
      <c r="B692" s="4" t="s">
        <v>979</v>
      </c>
      <c r="C692" s="4" t="s">
        <v>980</v>
      </c>
      <c r="D692" s="4" t="s">
        <v>63</v>
      </c>
      <c r="E692" s="4" t="s">
        <v>75</v>
      </c>
      <c r="F692" s="4">
        <v>3</v>
      </c>
      <c r="G692" s="5">
        <v>2500</v>
      </c>
      <c r="H692" s="24">
        <v>45.2</v>
      </c>
      <c r="I692" s="16">
        <v>450</v>
      </c>
      <c r="J692" s="5">
        <v>120</v>
      </c>
      <c r="K692" s="5">
        <v>350</v>
      </c>
      <c r="L692" s="5">
        <v>4.6500000000000004</v>
      </c>
      <c r="M692" s="5">
        <f>(International_Education_Costs!$G692+International_Education_Costs!$I692+International_Education_Costs!$J692+International_Education_Costs!$K692)*International_Education_Costs!$L692</f>
        <v>15903.000000000002</v>
      </c>
      <c r="N692" s="5">
        <f>International_Education_Costs!$G692+International_Education_Costs!$I692+International_Education_Costs!$J692+International_Education_Costs!$K692</f>
        <v>3420</v>
      </c>
    </row>
    <row r="693" spans="1:14" x14ac:dyDescent="0.3">
      <c r="A693" s="6" t="s">
        <v>981</v>
      </c>
      <c r="B693" s="6" t="s">
        <v>982</v>
      </c>
      <c r="C693" s="6" t="s">
        <v>983</v>
      </c>
      <c r="D693" s="6" t="s">
        <v>40</v>
      </c>
      <c r="E693" s="6" t="s">
        <v>16</v>
      </c>
      <c r="F693" s="6">
        <v>2</v>
      </c>
      <c r="G693" s="7">
        <v>400</v>
      </c>
      <c r="H693" s="25">
        <v>83.2</v>
      </c>
      <c r="I693" s="17">
        <v>1400</v>
      </c>
      <c r="J693" s="7">
        <v>100</v>
      </c>
      <c r="K693" s="7">
        <v>800</v>
      </c>
      <c r="L693" s="7">
        <v>0.92</v>
      </c>
      <c r="M693" s="7">
        <f>(International_Education_Costs!$G693+International_Education_Costs!$I693+International_Education_Costs!$J693+International_Education_Costs!$K693)*International_Education_Costs!$L693</f>
        <v>2484</v>
      </c>
      <c r="N693" s="7">
        <f>International_Education_Costs!$G693+International_Education_Costs!$I693+International_Education_Costs!$J693+International_Education_Costs!$K693</f>
        <v>2700</v>
      </c>
    </row>
    <row r="694" spans="1:14" x14ac:dyDescent="0.3">
      <c r="A694" s="4" t="s">
        <v>373</v>
      </c>
      <c r="B694" s="4" t="s">
        <v>374</v>
      </c>
      <c r="C694" s="4" t="s">
        <v>375</v>
      </c>
      <c r="D694" s="4" t="s">
        <v>216</v>
      </c>
      <c r="E694" s="4" t="s">
        <v>16</v>
      </c>
      <c r="F694" s="4">
        <v>2</v>
      </c>
      <c r="G694" s="5">
        <v>5000</v>
      </c>
      <c r="H694" s="24">
        <v>45.8</v>
      </c>
      <c r="I694" s="16">
        <v>400</v>
      </c>
      <c r="J694" s="5">
        <v>150</v>
      </c>
      <c r="K694" s="5">
        <v>250</v>
      </c>
      <c r="L694" s="5">
        <v>15600</v>
      </c>
      <c r="M694" s="5">
        <f>(International_Education_Costs!$G694+International_Education_Costs!$I694+International_Education_Costs!$J694+International_Education_Costs!$K694)*International_Education_Costs!$L694</f>
        <v>90480000</v>
      </c>
      <c r="N694" s="5">
        <f>International_Education_Costs!$G694+International_Education_Costs!$I694+International_Education_Costs!$J694+International_Education_Costs!$K694</f>
        <v>5800</v>
      </c>
    </row>
    <row r="695" spans="1:14" x14ac:dyDescent="0.3">
      <c r="A695" s="6" t="s">
        <v>972</v>
      </c>
      <c r="B695" s="6" t="s">
        <v>984</v>
      </c>
      <c r="C695" s="6" t="s">
        <v>985</v>
      </c>
      <c r="D695" s="6" t="s">
        <v>71</v>
      </c>
      <c r="E695" s="6" t="s">
        <v>75</v>
      </c>
      <c r="F695" s="6">
        <v>3</v>
      </c>
      <c r="G695" s="7">
        <v>0</v>
      </c>
      <c r="H695" s="25">
        <v>78.400000000000006</v>
      </c>
      <c r="I695" s="17">
        <v>900</v>
      </c>
      <c r="J695" s="7">
        <v>140</v>
      </c>
      <c r="K695" s="7">
        <v>900</v>
      </c>
      <c r="L695" s="7">
        <v>137.5</v>
      </c>
      <c r="M695" s="7">
        <f>(International_Education_Costs!$G695+International_Education_Costs!$I695+International_Education_Costs!$J695+International_Education_Costs!$K695)*International_Education_Costs!$L695</f>
        <v>266750</v>
      </c>
      <c r="N695" s="7">
        <f>International_Education_Costs!$G695+International_Education_Costs!$I695+International_Education_Costs!$J695+International_Education_Costs!$K695</f>
        <v>1940</v>
      </c>
    </row>
    <row r="696" spans="1:14" x14ac:dyDescent="0.3">
      <c r="A696" s="4" t="s">
        <v>975</v>
      </c>
      <c r="B696" s="4" t="s">
        <v>986</v>
      </c>
      <c r="C696" s="4" t="s">
        <v>987</v>
      </c>
      <c r="D696" s="4" t="s">
        <v>15</v>
      </c>
      <c r="E696" s="4" t="s">
        <v>122</v>
      </c>
      <c r="F696" s="4">
        <v>4</v>
      </c>
      <c r="G696" s="5">
        <v>4000</v>
      </c>
      <c r="H696" s="24">
        <v>38.5</v>
      </c>
      <c r="I696" s="16">
        <v>350</v>
      </c>
      <c r="J696" s="5">
        <v>80</v>
      </c>
      <c r="K696" s="5">
        <v>300</v>
      </c>
      <c r="L696" s="5">
        <v>3950</v>
      </c>
      <c r="M696" s="5">
        <f>(International_Education_Costs!$G696+International_Education_Costs!$I696+International_Education_Costs!$J696+International_Education_Costs!$K696)*International_Education_Costs!$L696</f>
        <v>18683500</v>
      </c>
      <c r="N696" s="5">
        <f>International_Education_Costs!$G696+International_Education_Costs!$I696+International_Education_Costs!$J696+International_Education_Costs!$K696</f>
        <v>4730</v>
      </c>
    </row>
    <row r="697" spans="1:14" x14ac:dyDescent="0.3">
      <c r="A697" s="6" t="s">
        <v>161</v>
      </c>
      <c r="B697" s="6" t="s">
        <v>988</v>
      </c>
      <c r="C697" s="6" t="s">
        <v>989</v>
      </c>
      <c r="D697" s="6" t="s">
        <v>242</v>
      </c>
      <c r="E697" s="6" t="s">
        <v>16</v>
      </c>
      <c r="F697" s="6">
        <v>2</v>
      </c>
      <c r="G697" s="7">
        <v>2800</v>
      </c>
      <c r="H697" s="25">
        <v>52.4</v>
      </c>
      <c r="I697" s="17">
        <v>600</v>
      </c>
      <c r="J697" s="7">
        <v>80</v>
      </c>
      <c r="K697" s="7">
        <v>400</v>
      </c>
      <c r="L697" s="7">
        <v>4.0999999999999996</v>
      </c>
      <c r="M697" s="7">
        <f>(International_Education_Costs!$G697+International_Education_Costs!$I697+International_Education_Costs!$J697+International_Education_Costs!$K697)*International_Education_Costs!$L697</f>
        <v>15907.999999999998</v>
      </c>
      <c r="N697" s="7">
        <f>International_Education_Costs!$G697+International_Education_Costs!$I697+International_Education_Costs!$J697+International_Education_Costs!$K697</f>
        <v>3880</v>
      </c>
    </row>
    <row r="698" spans="1:14" x14ac:dyDescent="0.3">
      <c r="A698" s="4" t="s">
        <v>978</v>
      </c>
      <c r="B698" s="4" t="s">
        <v>990</v>
      </c>
      <c r="C698" s="4" t="s">
        <v>991</v>
      </c>
      <c r="D698" s="4" t="s">
        <v>20</v>
      </c>
      <c r="E698" s="4" t="s">
        <v>16</v>
      </c>
      <c r="F698" s="4">
        <v>2</v>
      </c>
      <c r="G698" s="5">
        <v>2200</v>
      </c>
      <c r="H698" s="24">
        <v>43.8</v>
      </c>
      <c r="I698" s="16">
        <v>400</v>
      </c>
      <c r="J698" s="5">
        <v>120</v>
      </c>
      <c r="K698" s="5">
        <v>350</v>
      </c>
      <c r="L698" s="5">
        <v>4.6500000000000004</v>
      </c>
      <c r="M698" s="5">
        <f>(International_Education_Costs!$G698+International_Education_Costs!$I698+International_Education_Costs!$J698+International_Education_Costs!$K698)*International_Education_Costs!$L698</f>
        <v>14275.500000000002</v>
      </c>
      <c r="N698" s="5">
        <f>International_Education_Costs!$G698+International_Education_Costs!$I698+International_Education_Costs!$J698+International_Education_Costs!$K698</f>
        <v>3070</v>
      </c>
    </row>
    <row r="699" spans="1:14" x14ac:dyDescent="0.3">
      <c r="A699" s="6" t="s">
        <v>981</v>
      </c>
      <c r="B699" s="6" t="s">
        <v>992</v>
      </c>
      <c r="C699" s="6" t="s">
        <v>993</v>
      </c>
      <c r="D699" s="6" t="s">
        <v>252</v>
      </c>
      <c r="E699" s="6" t="s">
        <v>16</v>
      </c>
      <c r="F699" s="6">
        <v>2</v>
      </c>
      <c r="G699" s="7">
        <v>400</v>
      </c>
      <c r="H699" s="25">
        <v>79.5</v>
      </c>
      <c r="I699" s="17">
        <v>1200</v>
      </c>
      <c r="J699" s="7">
        <v>100</v>
      </c>
      <c r="K699" s="7">
        <v>800</v>
      </c>
      <c r="L699" s="7">
        <v>0.92</v>
      </c>
      <c r="M699" s="7">
        <f>(International_Education_Costs!$G699+International_Education_Costs!$I699+International_Education_Costs!$J699+International_Education_Costs!$K699)*International_Education_Costs!$L699</f>
        <v>2300</v>
      </c>
      <c r="N699" s="7">
        <f>International_Education_Costs!$G699+International_Education_Costs!$I699+International_Education_Costs!$J699+International_Education_Costs!$K699</f>
        <v>2500</v>
      </c>
    </row>
    <row r="700" spans="1:14" x14ac:dyDescent="0.3">
      <c r="A700" s="4" t="s">
        <v>373</v>
      </c>
      <c r="B700" s="4" t="s">
        <v>994</v>
      </c>
      <c r="C700" s="4" t="s">
        <v>995</v>
      </c>
      <c r="D700" s="4" t="s">
        <v>63</v>
      </c>
      <c r="E700" s="4" t="s">
        <v>122</v>
      </c>
      <c r="F700" s="4">
        <v>4</v>
      </c>
      <c r="G700" s="5">
        <v>4500</v>
      </c>
      <c r="H700" s="24">
        <v>42.4</v>
      </c>
      <c r="I700" s="16">
        <v>300</v>
      </c>
      <c r="J700" s="5">
        <v>150</v>
      </c>
      <c r="K700" s="5">
        <v>250</v>
      </c>
      <c r="L700" s="5">
        <v>15600</v>
      </c>
      <c r="M700" s="5">
        <f>(International_Education_Costs!$G700+International_Education_Costs!$I700+International_Education_Costs!$J700+International_Education_Costs!$K700)*International_Education_Costs!$L700</f>
        <v>81120000</v>
      </c>
      <c r="N700" s="5">
        <f>International_Education_Costs!$G700+International_Education_Costs!$I700+International_Education_Costs!$J700+International_Education_Costs!$K700</f>
        <v>5200</v>
      </c>
    </row>
    <row r="701" spans="1:14" x14ac:dyDescent="0.3">
      <c r="A701" s="6" t="s">
        <v>972</v>
      </c>
      <c r="B701" s="6" t="s">
        <v>973</v>
      </c>
      <c r="C701" s="6" t="s">
        <v>996</v>
      </c>
      <c r="D701" s="6" t="s">
        <v>137</v>
      </c>
      <c r="E701" s="6" t="s">
        <v>16</v>
      </c>
      <c r="F701" s="6">
        <v>2</v>
      </c>
      <c r="G701" s="7">
        <v>0</v>
      </c>
      <c r="H701" s="25">
        <v>84.5</v>
      </c>
      <c r="I701" s="17">
        <v>1150</v>
      </c>
      <c r="J701" s="7">
        <v>140</v>
      </c>
      <c r="K701" s="7">
        <v>900</v>
      </c>
      <c r="L701" s="7">
        <v>137.5</v>
      </c>
      <c r="M701" s="7">
        <f>(International_Education_Costs!$G701+International_Education_Costs!$I701+International_Education_Costs!$J701+International_Education_Costs!$K701)*International_Education_Costs!$L701</f>
        <v>301125</v>
      </c>
      <c r="N701" s="7">
        <f>International_Education_Costs!$G701+International_Education_Costs!$I701+International_Education_Costs!$J701+International_Education_Costs!$K701</f>
        <v>2190</v>
      </c>
    </row>
    <row r="702" spans="1:14" x14ac:dyDescent="0.3">
      <c r="A702" s="4" t="s">
        <v>975</v>
      </c>
      <c r="B702" s="4" t="s">
        <v>997</v>
      </c>
      <c r="C702" s="4" t="s">
        <v>998</v>
      </c>
      <c r="D702" s="4" t="s">
        <v>223</v>
      </c>
      <c r="E702" s="4" t="s">
        <v>75</v>
      </c>
      <c r="F702" s="4">
        <v>4</v>
      </c>
      <c r="G702" s="5">
        <v>3200</v>
      </c>
      <c r="H702" s="24">
        <v>36.799999999999997</v>
      </c>
      <c r="I702" s="16">
        <v>300</v>
      </c>
      <c r="J702" s="5">
        <v>80</v>
      </c>
      <c r="K702" s="5">
        <v>300</v>
      </c>
      <c r="L702" s="5">
        <v>3950</v>
      </c>
      <c r="M702" s="5">
        <f>(International_Education_Costs!$G702+International_Education_Costs!$I702+International_Education_Costs!$J702+International_Education_Costs!$K702)*International_Education_Costs!$L702</f>
        <v>15326000</v>
      </c>
      <c r="N702" s="5">
        <f>International_Education_Costs!$G702+International_Education_Costs!$I702+International_Education_Costs!$J702+International_Education_Costs!$K702</f>
        <v>3880</v>
      </c>
    </row>
    <row r="703" spans="1:14" x14ac:dyDescent="0.3">
      <c r="A703" s="6" t="s">
        <v>161</v>
      </c>
      <c r="B703" s="6" t="s">
        <v>999</v>
      </c>
      <c r="C703" s="6" t="s">
        <v>1000</v>
      </c>
      <c r="D703" s="6" t="s">
        <v>40</v>
      </c>
      <c r="E703" s="6" t="s">
        <v>16</v>
      </c>
      <c r="F703" s="6">
        <v>2</v>
      </c>
      <c r="G703" s="7">
        <v>2600</v>
      </c>
      <c r="H703" s="25">
        <v>50.5</v>
      </c>
      <c r="I703" s="17">
        <v>550</v>
      </c>
      <c r="J703" s="7">
        <v>80</v>
      </c>
      <c r="K703" s="7">
        <v>400</v>
      </c>
      <c r="L703" s="7">
        <v>4.0999999999999996</v>
      </c>
      <c r="M703" s="7">
        <f>(International_Education_Costs!$G703+International_Education_Costs!$I703+International_Education_Costs!$J703+International_Education_Costs!$K703)*International_Education_Costs!$L703</f>
        <v>14882.999999999998</v>
      </c>
      <c r="N703" s="7">
        <f>International_Education_Costs!$G703+International_Education_Costs!$I703+International_Education_Costs!$J703+International_Education_Costs!$K703</f>
        <v>3630</v>
      </c>
    </row>
    <row r="704" spans="1:14" x14ac:dyDescent="0.3">
      <c r="A704" s="4" t="s">
        <v>978</v>
      </c>
      <c r="B704" s="4" t="s">
        <v>1001</v>
      </c>
      <c r="C704" s="4" t="s">
        <v>1002</v>
      </c>
      <c r="D704" s="4" t="s">
        <v>208</v>
      </c>
      <c r="E704" s="4" t="s">
        <v>122</v>
      </c>
      <c r="F704" s="4">
        <v>4</v>
      </c>
      <c r="G704" s="5">
        <v>2400</v>
      </c>
      <c r="H704" s="24">
        <v>42.5</v>
      </c>
      <c r="I704" s="16">
        <v>380</v>
      </c>
      <c r="J704" s="5">
        <v>120</v>
      </c>
      <c r="K704" s="5">
        <v>350</v>
      </c>
      <c r="L704" s="5">
        <v>4.6500000000000004</v>
      </c>
      <c r="M704" s="5">
        <f>(International_Education_Costs!$G704+International_Education_Costs!$I704+International_Education_Costs!$J704+International_Education_Costs!$K704)*International_Education_Costs!$L704</f>
        <v>15112.500000000002</v>
      </c>
      <c r="N704" s="5">
        <f>International_Education_Costs!$G704+International_Education_Costs!$I704+International_Education_Costs!$J704+International_Education_Costs!$K704</f>
        <v>3250</v>
      </c>
    </row>
    <row r="705" spans="1:14" x14ac:dyDescent="0.3">
      <c r="A705" s="6" t="s">
        <v>981</v>
      </c>
      <c r="B705" s="6" t="s">
        <v>1003</v>
      </c>
      <c r="C705" s="6" t="s">
        <v>1004</v>
      </c>
      <c r="D705" s="6" t="s">
        <v>15</v>
      </c>
      <c r="E705" s="6" t="s">
        <v>75</v>
      </c>
      <c r="F705" s="6">
        <v>3</v>
      </c>
      <c r="G705" s="7">
        <v>400</v>
      </c>
      <c r="H705" s="25">
        <v>78.400000000000006</v>
      </c>
      <c r="I705" s="17">
        <v>1100</v>
      </c>
      <c r="J705" s="7">
        <v>100</v>
      </c>
      <c r="K705" s="7">
        <v>800</v>
      </c>
      <c r="L705" s="7">
        <v>0.92</v>
      </c>
      <c r="M705" s="7">
        <f>(International_Education_Costs!$G705+International_Education_Costs!$I705+International_Education_Costs!$J705+International_Education_Costs!$K705)*International_Education_Costs!$L705</f>
        <v>2208</v>
      </c>
      <c r="N705" s="7">
        <f>International_Education_Costs!$G705+International_Education_Costs!$I705+International_Education_Costs!$J705+International_Education_Costs!$K705</f>
        <v>2400</v>
      </c>
    </row>
    <row r="706" spans="1:14" x14ac:dyDescent="0.3">
      <c r="A706" s="4" t="s">
        <v>373</v>
      </c>
      <c r="B706" s="4" t="s">
        <v>1005</v>
      </c>
      <c r="C706" s="4" t="s">
        <v>1006</v>
      </c>
      <c r="D706" s="4" t="s">
        <v>20</v>
      </c>
      <c r="E706" s="4" t="s">
        <v>16</v>
      </c>
      <c r="F706" s="4">
        <v>2</v>
      </c>
      <c r="G706" s="5">
        <v>4000</v>
      </c>
      <c r="H706" s="24">
        <v>40.200000000000003</v>
      </c>
      <c r="I706" s="16">
        <v>250</v>
      </c>
      <c r="J706" s="5">
        <v>150</v>
      </c>
      <c r="K706" s="5">
        <v>250</v>
      </c>
      <c r="L706" s="5">
        <v>15600</v>
      </c>
      <c r="M706" s="5">
        <f>(International_Education_Costs!$G706+International_Education_Costs!$I706+International_Education_Costs!$J706+International_Education_Costs!$K706)*International_Education_Costs!$L706</f>
        <v>72540000</v>
      </c>
      <c r="N706" s="5">
        <f>International_Education_Costs!$G706+International_Education_Costs!$I706+International_Education_Costs!$J706+International_Education_Costs!$K706</f>
        <v>4650</v>
      </c>
    </row>
    <row r="707" spans="1:14" x14ac:dyDescent="0.3">
      <c r="A707" s="6" t="s">
        <v>972</v>
      </c>
      <c r="B707" s="6" t="s">
        <v>1007</v>
      </c>
      <c r="C707" s="6" t="s">
        <v>1008</v>
      </c>
      <c r="D707" s="6" t="s">
        <v>1009</v>
      </c>
      <c r="E707" s="6" t="s">
        <v>16</v>
      </c>
      <c r="F707" s="6">
        <v>2</v>
      </c>
      <c r="G707" s="7">
        <v>0</v>
      </c>
      <c r="H707" s="25">
        <v>82.1</v>
      </c>
      <c r="I707" s="17">
        <v>1000</v>
      </c>
      <c r="J707" s="7">
        <v>140</v>
      </c>
      <c r="K707" s="7">
        <v>900</v>
      </c>
      <c r="L707" s="7">
        <v>137.5</v>
      </c>
      <c r="M707" s="7">
        <f>(International_Education_Costs!$G707+International_Education_Costs!$I707+International_Education_Costs!$J707+International_Education_Costs!$K707)*International_Education_Costs!$L707</f>
        <v>280500</v>
      </c>
      <c r="N707" s="7">
        <f>International_Education_Costs!$G707+International_Education_Costs!$I707+International_Education_Costs!$J707+International_Education_Costs!$K707</f>
        <v>2040</v>
      </c>
    </row>
    <row r="708" spans="1:14" x14ac:dyDescent="0.3">
      <c r="A708" s="4" t="s">
        <v>975</v>
      </c>
      <c r="B708" s="4" t="s">
        <v>1010</v>
      </c>
      <c r="C708" s="4" t="s">
        <v>1011</v>
      </c>
      <c r="D708" s="4" t="s">
        <v>63</v>
      </c>
      <c r="E708" s="4" t="s">
        <v>16</v>
      </c>
      <c r="F708" s="4">
        <v>2</v>
      </c>
      <c r="G708" s="5">
        <v>3800</v>
      </c>
      <c r="H708" s="24">
        <v>35.4</v>
      </c>
      <c r="I708" s="16">
        <v>280</v>
      </c>
      <c r="J708" s="5">
        <v>80</v>
      </c>
      <c r="K708" s="5">
        <v>300</v>
      </c>
      <c r="L708" s="5">
        <v>3950</v>
      </c>
      <c r="M708" s="5">
        <f>(International_Education_Costs!$G708+International_Education_Costs!$I708+International_Education_Costs!$J708+International_Education_Costs!$K708)*International_Education_Costs!$L708</f>
        <v>17617000</v>
      </c>
      <c r="N708" s="5">
        <f>International_Education_Costs!$G708+International_Education_Costs!$I708+International_Education_Costs!$J708+International_Education_Costs!$K708</f>
        <v>4460</v>
      </c>
    </row>
    <row r="709" spans="1:14" x14ac:dyDescent="0.3">
      <c r="A709" s="6" t="s">
        <v>161</v>
      </c>
      <c r="B709" s="6" t="s">
        <v>1012</v>
      </c>
      <c r="C709" s="6" t="s">
        <v>1013</v>
      </c>
      <c r="D709" s="6" t="s">
        <v>15</v>
      </c>
      <c r="E709" s="6" t="s">
        <v>122</v>
      </c>
      <c r="F709" s="6">
        <v>4</v>
      </c>
      <c r="G709" s="7">
        <v>2700</v>
      </c>
      <c r="H709" s="25">
        <v>51.2</v>
      </c>
      <c r="I709" s="17">
        <v>580</v>
      </c>
      <c r="J709" s="7">
        <v>80</v>
      </c>
      <c r="K709" s="7">
        <v>400</v>
      </c>
      <c r="L709" s="7">
        <v>4.0999999999999996</v>
      </c>
      <c r="M709" s="7">
        <f>(International_Education_Costs!$G709+International_Education_Costs!$I709+International_Education_Costs!$J709+International_Education_Costs!$K709)*International_Education_Costs!$L709</f>
        <v>15415.999999999998</v>
      </c>
      <c r="N709" s="7">
        <f>International_Education_Costs!$G709+International_Education_Costs!$I709+International_Education_Costs!$J709+International_Education_Costs!$K709</f>
        <v>3760</v>
      </c>
    </row>
    <row r="710" spans="1:14" x14ac:dyDescent="0.3">
      <c r="A710" s="4" t="s">
        <v>978</v>
      </c>
      <c r="B710" s="4" t="s">
        <v>1014</v>
      </c>
      <c r="C710" s="4" t="s">
        <v>1015</v>
      </c>
      <c r="D710" s="4" t="s">
        <v>216</v>
      </c>
      <c r="E710" s="4" t="s">
        <v>16</v>
      </c>
      <c r="F710" s="4">
        <v>2</v>
      </c>
      <c r="G710" s="5">
        <v>2100</v>
      </c>
      <c r="H710" s="24">
        <v>41.8</v>
      </c>
      <c r="I710" s="16">
        <v>350</v>
      </c>
      <c r="J710" s="5">
        <v>120</v>
      </c>
      <c r="K710" s="5">
        <v>350</v>
      </c>
      <c r="L710" s="5">
        <v>4.6500000000000004</v>
      </c>
      <c r="M710" s="5">
        <f>(International_Education_Costs!$G710+International_Education_Costs!$I710+International_Education_Costs!$J710+International_Education_Costs!$K710)*International_Education_Costs!$L710</f>
        <v>13578.000000000002</v>
      </c>
      <c r="N710" s="5">
        <f>International_Education_Costs!$G710+International_Education_Costs!$I710+International_Education_Costs!$J710+International_Education_Costs!$K710</f>
        <v>2920</v>
      </c>
    </row>
    <row r="711" spans="1:14" x14ac:dyDescent="0.3">
      <c r="A711" s="6" t="s">
        <v>981</v>
      </c>
      <c r="B711" s="6" t="s">
        <v>1016</v>
      </c>
      <c r="C711" s="6" t="s">
        <v>1017</v>
      </c>
      <c r="D711" s="6" t="s">
        <v>71</v>
      </c>
      <c r="E711" s="6" t="s">
        <v>16</v>
      </c>
      <c r="F711" s="6">
        <v>2</v>
      </c>
      <c r="G711" s="7">
        <v>400</v>
      </c>
      <c r="H711" s="25">
        <v>81.5</v>
      </c>
      <c r="I711" s="17">
        <v>1300</v>
      </c>
      <c r="J711" s="7">
        <v>100</v>
      </c>
      <c r="K711" s="7">
        <v>800</v>
      </c>
      <c r="L711" s="7">
        <v>0.92</v>
      </c>
      <c r="M711" s="7">
        <f>(International_Education_Costs!$G711+International_Education_Costs!$I711+International_Education_Costs!$J711+International_Education_Costs!$K711)*International_Education_Costs!$L711</f>
        <v>2392</v>
      </c>
      <c r="N711" s="7">
        <f>International_Education_Costs!$G711+International_Education_Costs!$I711+International_Education_Costs!$J711+International_Education_Costs!$K711</f>
        <v>2600</v>
      </c>
    </row>
    <row r="712" spans="1:14" x14ac:dyDescent="0.3">
      <c r="A712" s="4" t="s">
        <v>373</v>
      </c>
      <c r="B712" s="4" t="s">
        <v>1018</v>
      </c>
      <c r="C712" s="4" t="s">
        <v>1019</v>
      </c>
      <c r="D712" s="4" t="s">
        <v>208</v>
      </c>
      <c r="E712" s="4" t="s">
        <v>75</v>
      </c>
      <c r="F712" s="4">
        <v>4</v>
      </c>
      <c r="G712" s="5">
        <v>3800</v>
      </c>
      <c r="H712" s="24">
        <v>41.5</v>
      </c>
      <c r="I712" s="16">
        <v>280</v>
      </c>
      <c r="J712" s="5">
        <v>150</v>
      </c>
      <c r="K712" s="5">
        <v>250</v>
      </c>
      <c r="L712" s="5">
        <v>15600</v>
      </c>
      <c r="M712" s="5">
        <f>(International_Education_Costs!$G712+International_Education_Costs!$I712+International_Education_Costs!$J712+International_Education_Costs!$K712)*International_Education_Costs!$L712</f>
        <v>69888000</v>
      </c>
      <c r="N712" s="5">
        <f>International_Education_Costs!$G712+International_Education_Costs!$I712+International_Education_Costs!$J712+International_Education_Costs!$K712</f>
        <v>4480</v>
      </c>
    </row>
    <row r="713" spans="1:14" x14ac:dyDescent="0.3">
      <c r="A713" s="6" t="s">
        <v>972</v>
      </c>
      <c r="B713" s="6" t="s">
        <v>1020</v>
      </c>
      <c r="C713" s="6" t="s">
        <v>1021</v>
      </c>
      <c r="D713" s="6" t="s">
        <v>1022</v>
      </c>
      <c r="E713" s="6" t="s">
        <v>75</v>
      </c>
      <c r="F713" s="6">
        <v>3</v>
      </c>
      <c r="G713" s="7">
        <v>0</v>
      </c>
      <c r="H713" s="25">
        <v>81.2</v>
      </c>
      <c r="I713" s="17">
        <v>950</v>
      </c>
      <c r="J713" s="7">
        <v>140</v>
      </c>
      <c r="K713" s="7">
        <v>900</v>
      </c>
      <c r="L713" s="7">
        <v>137.5</v>
      </c>
      <c r="M713" s="7">
        <f>(International_Education_Costs!$G713+International_Education_Costs!$I713+International_Education_Costs!$J713+International_Education_Costs!$K713)*International_Education_Costs!$L713</f>
        <v>273625</v>
      </c>
      <c r="N713" s="7">
        <f>International_Education_Costs!$G713+International_Education_Costs!$I713+International_Education_Costs!$J713+International_Education_Costs!$K713</f>
        <v>1990</v>
      </c>
    </row>
    <row r="714" spans="1:14" x14ac:dyDescent="0.3">
      <c r="A714" s="4" t="s">
        <v>975</v>
      </c>
      <c r="B714" s="4" t="s">
        <v>1023</v>
      </c>
      <c r="C714" s="4" t="s">
        <v>1024</v>
      </c>
      <c r="D714" s="4" t="s">
        <v>20</v>
      </c>
      <c r="E714" s="4" t="s">
        <v>122</v>
      </c>
      <c r="F714" s="4">
        <v>4</v>
      </c>
      <c r="G714" s="5">
        <v>3500</v>
      </c>
      <c r="H714" s="24">
        <v>34.799999999999997</v>
      </c>
      <c r="I714" s="16">
        <v>260</v>
      </c>
      <c r="J714" s="5">
        <v>80</v>
      </c>
      <c r="K714" s="5">
        <v>300</v>
      </c>
      <c r="L714" s="5">
        <v>3950</v>
      </c>
      <c r="M714" s="5">
        <f>(International_Education_Costs!$G714+International_Education_Costs!$I714+International_Education_Costs!$J714+International_Education_Costs!$K714)*International_Education_Costs!$L714</f>
        <v>16353000</v>
      </c>
      <c r="N714" s="5">
        <f>International_Education_Costs!$G714+International_Education_Costs!$I714+International_Education_Costs!$J714+International_Education_Costs!$K714</f>
        <v>4140</v>
      </c>
    </row>
    <row r="715" spans="1:14" x14ac:dyDescent="0.3">
      <c r="A715" s="6" t="s">
        <v>161</v>
      </c>
      <c r="B715" s="6" t="s">
        <v>1025</v>
      </c>
      <c r="C715" s="6" t="s">
        <v>1026</v>
      </c>
      <c r="D715" s="6" t="s">
        <v>301</v>
      </c>
      <c r="E715" s="6" t="s">
        <v>16</v>
      </c>
      <c r="F715" s="6">
        <v>2</v>
      </c>
      <c r="G715" s="7">
        <v>2500</v>
      </c>
      <c r="H715" s="25">
        <v>49.8</v>
      </c>
      <c r="I715" s="17">
        <v>520</v>
      </c>
      <c r="J715" s="7">
        <v>80</v>
      </c>
      <c r="K715" s="7">
        <v>400</v>
      </c>
      <c r="L715" s="7">
        <v>4.0999999999999996</v>
      </c>
      <c r="M715" s="7">
        <f>(International_Education_Costs!$G715+International_Education_Costs!$I715+International_Education_Costs!$J715+International_Education_Costs!$K715)*International_Education_Costs!$L715</f>
        <v>14349.999999999998</v>
      </c>
      <c r="N715" s="7">
        <f>International_Education_Costs!$G715+International_Education_Costs!$I715+International_Education_Costs!$J715+International_Education_Costs!$K715</f>
        <v>3500</v>
      </c>
    </row>
    <row r="716" spans="1:14" x14ac:dyDescent="0.3">
      <c r="A716" s="4" t="s">
        <v>978</v>
      </c>
      <c r="B716" s="4" t="s">
        <v>1027</v>
      </c>
      <c r="C716" s="4" t="s">
        <v>1028</v>
      </c>
      <c r="D716" s="4" t="s">
        <v>63</v>
      </c>
      <c r="E716" s="4" t="s">
        <v>75</v>
      </c>
      <c r="F716" s="4">
        <v>4</v>
      </c>
      <c r="G716" s="5">
        <v>2000</v>
      </c>
      <c r="H716" s="24">
        <v>40.5</v>
      </c>
      <c r="I716" s="16">
        <v>330</v>
      </c>
      <c r="J716" s="5">
        <v>120</v>
      </c>
      <c r="K716" s="5">
        <v>350</v>
      </c>
      <c r="L716" s="5">
        <v>4.6500000000000004</v>
      </c>
      <c r="M716" s="5">
        <f>(International_Education_Costs!$G716+International_Education_Costs!$I716+International_Education_Costs!$J716+International_Education_Costs!$K716)*International_Education_Costs!$L716</f>
        <v>13020.000000000002</v>
      </c>
      <c r="N716" s="5">
        <f>International_Education_Costs!$G716+International_Education_Costs!$I716+International_Education_Costs!$J716+International_Education_Costs!$K716</f>
        <v>2800</v>
      </c>
    </row>
    <row r="717" spans="1:14" x14ac:dyDescent="0.3">
      <c r="A717" s="6" t="s">
        <v>981</v>
      </c>
      <c r="B717" s="6" t="s">
        <v>1029</v>
      </c>
      <c r="C717" s="6" t="s">
        <v>1030</v>
      </c>
      <c r="D717" s="6" t="s">
        <v>223</v>
      </c>
      <c r="E717" s="6" t="s">
        <v>16</v>
      </c>
      <c r="F717" s="6">
        <v>2</v>
      </c>
      <c r="G717" s="7">
        <v>400</v>
      </c>
      <c r="H717" s="25">
        <v>77.8</v>
      </c>
      <c r="I717" s="17">
        <v>1150</v>
      </c>
      <c r="J717" s="7">
        <v>100</v>
      </c>
      <c r="K717" s="7">
        <v>800</v>
      </c>
      <c r="L717" s="7">
        <v>0.92</v>
      </c>
      <c r="M717" s="7">
        <f>(International_Education_Costs!$G717+International_Education_Costs!$I717+International_Education_Costs!$J717+International_Education_Costs!$K717)*International_Education_Costs!$L717</f>
        <v>2254</v>
      </c>
      <c r="N717" s="7">
        <f>International_Education_Costs!$G717+International_Education_Costs!$I717+International_Education_Costs!$J717+International_Education_Costs!$K717</f>
        <v>2450</v>
      </c>
    </row>
    <row r="718" spans="1:14" x14ac:dyDescent="0.3">
      <c r="A718" s="4" t="s">
        <v>373</v>
      </c>
      <c r="B718" s="4" t="s">
        <v>1031</v>
      </c>
      <c r="C718" s="4" t="s">
        <v>1032</v>
      </c>
      <c r="D718" s="4" t="s">
        <v>40</v>
      </c>
      <c r="E718" s="4" t="s">
        <v>16</v>
      </c>
      <c r="F718" s="4">
        <v>2</v>
      </c>
      <c r="G718" s="5">
        <v>3500</v>
      </c>
      <c r="H718" s="24">
        <v>39.799999999999997</v>
      </c>
      <c r="I718" s="16">
        <v>240</v>
      </c>
      <c r="J718" s="5">
        <v>150</v>
      </c>
      <c r="K718" s="5">
        <v>250</v>
      </c>
      <c r="L718" s="5">
        <v>15600</v>
      </c>
      <c r="M718" s="5">
        <f>(International_Education_Costs!$G718+International_Education_Costs!$I718+International_Education_Costs!$J718+International_Education_Costs!$K718)*International_Education_Costs!$L718</f>
        <v>64584000</v>
      </c>
      <c r="N718" s="5">
        <f>International_Education_Costs!$G718+International_Education_Costs!$I718+International_Education_Costs!$J718+International_Education_Costs!$K718</f>
        <v>4140</v>
      </c>
    </row>
    <row r="719" spans="1:14" x14ac:dyDescent="0.3">
      <c r="A719" s="6" t="s">
        <v>161</v>
      </c>
      <c r="B719" s="6" t="s">
        <v>1033</v>
      </c>
      <c r="C719" s="6" t="s">
        <v>1034</v>
      </c>
      <c r="D719" s="6" t="s">
        <v>208</v>
      </c>
      <c r="E719" s="6" t="s">
        <v>16</v>
      </c>
      <c r="F719" s="6">
        <v>2</v>
      </c>
      <c r="G719" s="7">
        <v>2400</v>
      </c>
      <c r="H719" s="25">
        <v>48.5</v>
      </c>
      <c r="I719" s="17">
        <v>500</v>
      </c>
      <c r="J719" s="7">
        <v>80</v>
      </c>
      <c r="K719" s="7">
        <v>400</v>
      </c>
      <c r="L719" s="7">
        <v>4.0999999999999996</v>
      </c>
      <c r="M719" s="7">
        <f>(International_Education_Costs!$G719+International_Education_Costs!$I719+International_Education_Costs!$J719+International_Education_Costs!$K719)*International_Education_Costs!$L719</f>
        <v>13857.999999999998</v>
      </c>
      <c r="N719" s="7">
        <f>International_Education_Costs!$G719+International_Education_Costs!$I719+International_Education_Costs!$J719+International_Education_Costs!$K719</f>
        <v>3380</v>
      </c>
    </row>
    <row r="720" spans="1:14" x14ac:dyDescent="0.3">
      <c r="A720" s="4" t="s">
        <v>978</v>
      </c>
      <c r="B720" s="4" t="s">
        <v>1035</v>
      </c>
      <c r="C720" s="4" t="s">
        <v>1036</v>
      </c>
      <c r="D720" s="4" t="s">
        <v>71</v>
      </c>
      <c r="E720" s="4" t="s">
        <v>16</v>
      </c>
      <c r="F720" s="4">
        <v>2</v>
      </c>
      <c r="G720" s="5">
        <v>1900</v>
      </c>
      <c r="H720" s="24">
        <v>39.799999999999997</v>
      </c>
      <c r="I720" s="16">
        <v>320</v>
      </c>
      <c r="J720" s="5">
        <v>120</v>
      </c>
      <c r="K720" s="5">
        <v>350</v>
      </c>
      <c r="L720" s="5">
        <v>4.6500000000000004</v>
      </c>
      <c r="M720" s="5">
        <f>(International_Education_Costs!$G720+International_Education_Costs!$I720+International_Education_Costs!$J720+International_Education_Costs!$K720)*International_Education_Costs!$L720</f>
        <v>12508.500000000002</v>
      </c>
      <c r="N720" s="5">
        <f>International_Education_Costs!$G720+International_Education_Costs!$I720+International_Education_Costs!$J720+International_Education_Costs!$K720</f>
        <v>2690</v>
      </c>
    </row>
    <row r="721" spans="1:14" x14ac:dyDescent="0.3">
      <c r="A721" s="6" t="s">
        <v>981</v>
      </c>
      <c r="B721" s="6" t="s">
        <v>1037</v>
      </c>
      <c r="C721" s="6" t="s">
        <v>1038</v>
      </c>
      <c r="D721" s="6" t="s">
        <v>457</v>
      </c>
      <c r="E721" s="6" t="s">
        <v>75</v>
      </c>
      <c r="F721" s="6">
        <v>3</v>
      </c>
      <c r="G721" s="7">
        <v>400</v>
      </c>
      <c r="H721" s="25">
        <v>76.5</v>
      </c>
      <c r="I721" s="17">
        <v>1100</v>
      </c>
      <c r="J721" s="7">
        <v>100</v>
      </c>
      <c r="K721" s="7">
        <v>800</v>
      </c>
      <c r="L721" s="7">
        <v>0.92</v>
      </c>
      <c r="M721" s="7">
        <f>(International_Education_Costs!$G721+International_Education_Costs!$I721+International_Education_Costs!$J721+International_Education_Costs!$K721)*International_Education_Costs!$L721</f>
        <v>2208</v>
      </c>
      <c r="N721" s="7">
        <f>International_Education_Costs!$G721+International_Education_Costs!$I721+International_Education_Costs!$J721+International_Education_Costs!$K721</f>
        <v>2400</v>
      </c>
    </row>
    <row r="722" spans="1:14" x14ac:dyDescent="0.3">
      <c r="A722" s="4" t="s">
        <v>373</v>
      </c>
      <c r="B722" s="4" t="s">
        <v>1039</v>
      </c>
      <c r="C722" s="4" t="s">
        <v>1040</v>
      </c>
      <c r="D722" s="4" t="s">
        <v>15</v>
      </c>
      <c r="E722" s="4" t="s">
        <v>122</v>
      </c>
      <c r="F722" s="4">
        <v>4</v>
      </c>
      <c r="G722" s="5">
        <v>3200</v>
      </c>
      <c r="H722" s="24">
        <v>38.5</v>
      </c>
      <c r="I722" s="16">
        <v>220</v>
      </c>
      <c r="J722" s="5">
        <v>150</v>
      </c>
      <c r="K722" s="5">
        <v>250</v>
      </c>
      <c r="L722" s="5">
        <v>15600</v>
      </c>
      <c r="M722" s="5">
        <f>(International_Education_Costs!$G722+International_Education_Costs!$I722+International_Education_Costs!$J722+International_Education_Costs!$K722)*International_Education_Costs!$L722</f>
        <v>59592000</v>
      </c>
      <c r="N722" s="5">
        <f>International_Education_Costs!$G722+International_Education_Costs!$I722+International_Education_Costs!$J722+International_Education_Costs!$K722</f>
        <v>3820</v>
      </c>
    </row>
    <row r="723" spans="1:14" x14ac:dyDescent="0.3">
      <c r="A723" s="6" t="s">
        <v>972</v>
      </c>
      <c r="B723" s="6" t="s">
        <v>1041</v>
      </c>
      <c r="C723" s="6" t="s">
        <v>1042</v>
      </c>
      <c r="D723" s="6" t="s">
        <v>1043</v>
      </c>
      <c r="E723" s="6" t="s">
        <v>16</v>
      </c>
      <c r="F723" s="6">
        <v>2</v>
      </c>
      <c r="G723" s="7">
        <v>0</v>
      </c>
      <c r="H723" s="25">
        <v>79.8</v>
      </c>
      <c r="I723" s="17">
        <v>900</v>
      </c>
      <c r="J723" s="7">
        <v>140</v>
      </c>
      <c r="K723" s="7">
        <v>900</v>
      </c>
      <c r="L723" s="7">
        <v>137.5</v>
      </c>
      <c r="M723" s="7">
        <f>(International_Education_Costs!$G723+International_Education_Costs!$I723+International_Education_Costs!$J723+International_Education_Costs!$K723)*International_Education_Costs!$L723</f>
        <v>266750</v>
      </c>
      <c r="N723" s="7">
        <f>International_Education_Costs!$G723+International_Education_Costs!$I723+International_Education_Costs!$J723+International_Education_Costs!$K723</f>
        <v>1940</v>
      </c>
    </row>
    <row r="724" spans="1:14" x14ac:dyDescent="0.3">
      <c r="A724" s="4" t="s">
        <v>975</v>
      </c>
      <c r="B724" s="4" t="s">
        <v>1044</v>
      </c>
      <c r="C724" s="4" t="s">
        <v>1045</v>
      </c>
      <c r="D724" s="4" t="s">
        <v>216</v>
      </c>
      <c r="E724" s="4" t="s">
        <v>16</v>
      </c>
      <c r="F724" s="4">
        <v>2</v>
      </c>
      <c r="G724" s="5">
        <v>3300</v>
      </c>
      <c r="H724" s="24">
        <v>35.200000000000003</v>
      </c>
      <c r="I724" s="16">
        <v>290</v>
      </c>
      <c r="J724" s="5">
        <v>80</v>
      </c>
      <c r="K724" s="5">
        <v>300</v>
      </c>
      <c r="L724" s="5">
        <v>3950</v>
      </c>
      <c r="M724" s="5">
        <f>(International_Education_Costs!$G724+International_Education_Costs!$I724+International_Education_Costs!$J724+International_Education_Costs!$K724)*International_Education_Costs!$L724</f>
        <v>15681500</v>
      </c>
      <c r="N724" s="5">
        <f>International_Education_Costs!$G724+International_Education_Costs!$I724+International_Education_Costs!$J724+International_Education_Costs!$K724</f>
        <v>3970</v>
      </c>
    </row>
    <row r="725" spans="1:14" x14ac:dyDescent="0.3">
      <c r="A725" s="6" t="s">
        <v>161</v>
      </c>
      <c r="B725" s="6" t="s">
        <v>1046</v>
      </c>
      <c r="C725" s="6" t="s">
        <v>1047</v>
      </c>
      <c r="D725" s="6" t="s">
        <v>63</v>
      </c>
      <c r="E725" s="6" t="s">
        <v>75</v>
      </c>
      <c r="F725" s="6">
        <v>3</v>
      </c>
      <c r="G725" s="7">
        <v>2300</v>
      </c>
      <c r="H725" s="25">
        <v>47.8</v>
      </c>
      <c r="I725" s="17">
        <v>480</v>
      </c>
      <c r="J725" s="7">
        <v>80</v>
      </c>
      <c r="K725" s="7">
        <v>400</v>
      </c>
      <c r="L725" s="7">
        <v>4.0999999999999996</v>
      </c>
      <c r="M725" s="7">
        <f>(International_Education_Costs!$G725+International_Education_Costs!$I725+International_Education_Costs!$J725+International_Education_Costs!$K725)*International_Education_Costs!$L725</f>
        <v>13365.999999999998</v>
      </c>
      <c r="N725" s="7">
        <f>International_Education_Costs!$G725+International_Education_Costs!$I725+International_Education_Costs!$J725+International_Education_Costs!$K725</f>
        <v>3260</v>
      </c>
    </row>
    <row r="726" spans="1:14" x14ac:dyDescent="0.3">
      <c r="A726" s="4" t="s">
        <v>978</v>
      </c>
      <c r="B726" s="4" t="s">
        <v>1048</v>
      </c>
      <c r="C726" s="4" t="s">
        <v>1049</v>
      </c>
      <c r="D726" s="4" t="s">
        <v>242</v>
      </c>
      <c r="E726" s="4" t="s">
        <v>122</v>
      </c>
      <c r="F726" s="4">
        <v>4</v>
      </c>
      <c r="G726" s="5">
        <v>2200</v>
      </c>
      <c r="H726" s="24">
        <v>38.9</v>
      </c>
      <c r="I726" s="16">
        <v>300</v>
      </c>
      <c r="J726" s="5">
        <v>120</v>
      </c>
      <c r="K726" s="5">
        <v>350</v>
      </c>
      <c r="L726" s="5">
        <v>4.6500000000000004</v>
      </c>
      <c r="M726" s="5">
        <f>(International_Education_Costs!$G726+International_Education_Costs!$I726+International_Education_Costs!$J726+International_Education_Costs!$K726)*International_Education_Costs!$L726</f>
        <v>13810.500000000002</v>
      </c>
      <c r="N726" s="5">
        <f>International_Education_Costs!$G726+International_Education_Costs!$I726+International_Education_Costs!$J726+International_Education_Costs!$K726</f>
        <v>2970</v>
      </c>
    </row>
    <row r="727" spans="1:14" x14ac:dyDescent="0.3">
      <c r="A727" s="6" t="s">
        <v>981</v>
      </c>
      <c r="B727" s="6" t="s">
        <v>1050</v>
      </c>
      <c r="C727" s="6" t="s">
        <v>1051</v>
      </c>
      <c r="D727" s="6" t="s">
        <v>24</v>
      </c>
      <c r="E727" s="6" t="s">
        <v>16</v>
      </c>
      <c r="F727" s="6">
        <v>2</v>
      </c>
      <c r="G727" s="7">
        <v>400</v>
      </c>
      <c r="H727" s="25">
        <v>75.400000000000006</v>
      </c>
      <c r="I727" s="17">
        <v>1050</v>
      </c>
      <c r="J727" s="7">
        <v>100</v>
      </c>
      <c r="K727" s="7">
        <v>800</v>
      </c>
      <c r="L727" s="7">
        <v>0.92</v>
      </c>
      <c r="M727" s="7">
        <f>(International_Education_Costs!$G727+International_Education_Costs!$I727+International_Education_Costs!$J727+International_Education_Costs!$K727)*International_Education_Costs!$L727</f>
        <v>2162</v>
      </c>
      <c r="N727" s="7">
        <f>International_Education_Costs!$G727+International_Education_Costs!$I727+International_Education_Costs!$J727+International_Education_Costs!$K727</f>
        <v>2350</v>
      </c>
    </row>
    <row r="728" spans="1:14" x14ac:dyDescent="0.3">
      <c r="A728" s="4" t="s">
        <v>373</v>
      </c>
      <c r="B728" s="4" t="s">
        <v>1052</v>
      </c>
      <c r="C728" s="4" t="s">
        <v>1053</v>
      </c>
      <c r="D728" s="4" t="s">
        <v>223</v>
      </c>
      <c r="E728" s="4" t="s">
        <v>16</v>
      </c>
      <c r="F728" s="4">
        <v>2</v>
      </c>
      <c r="G728" s="5">
        <v>3000</v>
      </c>
      <c r="H728" s="24">
        <v>37.9</v>
      </c>
      <c r="I728" s="16">
        <v>200</v>
      </c>
      <c r="J728" s="5">
        <v>150</v>
      </c>
      <c r="K728" s="5">
        <v>250</v>
      </c>
      <c r="L728" s="5">
        <v>15600</v>
      </c>
      <c r="M728" s="5">
        <f>(International_Education_Costs!$G728+International_Education_Costs!$I728+International_Education_Costs!$J728+International_Education_Costs!$K728)*International_Education_Costs!$L728</f>
        <v>56160000</v>
      </c>
      <c r="N728" s="5">
        <f>International_Education_Costs!$G728+International_Education_Costs!$I728+International_Education_Costs!$J728+International_Education_Costs!$K728</f>
        <v>3600</v>
      </c>
    </row>
    <row r="729" spans="1:14" x14ac:dyDescent="0.3">
      <c r="A729" s="6" t="s">
        <v>1054</v>
      </c>
      <c r="B729" s="6" t="s">
        <v>1055</v>
      </c>
      <c r="C729" s="6" t="s">
        <v>1056</v>
      </c>
      <c r="D729" s="6" t="s">
        <v>15</v>
      </c>
      <c r="E729" s="6" t="s">
        <v>16</v>
      </c>
      <c r="F729" s="6">
        <v>2</v>
      </c>
      <c r="G729" s="7">
        <v>1500</v>
      </c>
      <c r="H729" s="25">
        <v>35.799999999999997</v>
      </c>
      <c r="I729" s="17">
        <v>250</v>
      </c>
      <c r="J729" s="7">
        <v>60</v>
      </c>
      <c r="K729" s="7">
        <v>200</v>
      </c>
      <c r="L729" s="7">
        <v>3.15</v>
      </c>
      <c r="M729" s="7">
        <f>(International_Education_Costs!$G729+International_Education_Costs!$I729+International_Education_Costs!$J729+International_Education_Costs!$K729)*International_Education_Costs!$L729</f>
        <v>6331.5</v>
      </c>
      <c r="N729" s="7">
        <f>International_Education_Costs!$G729+International_Education_Costs!$I729+International_Education_Costs!$J729+International_Education_Costs!$K729</f>
        <v>2010</v>
      </c>
    </row>
    <row r="730" spans="1:14" x14ac:dyDescent="0.3">
      <c r="A730" s="4" t="s">
        <v>1057</v>
      </c>
      <c r="B730" s="4" t="s">
        <v>1058</v>
      </c>
      <c r="C730" s="4" t="s">
        <v>1059</v>
      </c>
      <c r="D730" s="4" t="s">
        <v>20</v>
      </c>
      <c r="E730" s="4" t="s">
        <v>16</v>
      </c>
      <c r="F730" s="4">
        <v>2</v>
      </c>
      <c r="G730" s="5">
        <v>8000</v>
      </c>
      <c r="H730" s="24">
        <v>65.400000000000006</v>
      </c>
      <c r="I730" s="16">
        <v>600</v>
      </c>
      <c r="J730" s="5">
        <v>100</v>
      </c>
      <c r="K730" s="5">
        <v>500</v>
      </c>
      <c r="L730" s="5">
        <v>0.92</v>
      </c>
      <c r="M730" s="5">
        <f>(International_Education_Costs!$G730+International_Education_Costs!$I730+International_Education_Costs!$J730+International_Education_Costs!$K730)*International_Education_Costs!$L730</f>
        <v>8464</v>
      </c>
      <c r="N730" s="5">
        <f>International_Education_Costs!$G730+International_Education_Costs!$I730+International_Education_Costs!$J730+International_Education_Costs!$K730</f>
        <v>9200</v>
      </c>
    </row>
    <row r="731" spans="1:14" x14ac:dyDescent="0.3">
      <c r="A731" s="6" t="s">
        <v>1060</v>
      </c>
      <c r="B731" s="6" t="s">
        <v>1061</v>
      </c>
      <c r="C731" s="6" t="s">
        <v>1062</v>
      </c>
      <c r="D731" s="6" t="s">
        <v>208</v>
      </c>
      <c r="E731" s="6" t="s">
        <v>122</v>
      </c>
      <c r="F731" s="6">
        <v>4</v>
      </c>
      <c r="G731" s="7">
        <v>4000</v>
      </c>
      <c r="H731" s="25">
        <v>58.9</v>
      </c>
      <c r="I731" s="17">
        <v>450</v>
      </c>
      <c r="J731" s="7">
        <v>80</v>
      </c>
      <c r="K731" s="7">
        <v>400</v>
      </c>
      <c r="L731" s="7">
        <v>7.35</v>
      </c>
      <c r="M731" s="7">
        <f>(International_Education_Costs!$G731+International_Education_Costs!$I731+International_Education_Costs!$J731+International_Education_Costs!$K731)*International_Education_Costs!$L731</f>
        <v>36235.5</v>
      </c>
      <c r="N731" s="7">
        <f>International_Education_Costs!$G731+International_Education_Costs!$I731+International_Education_Costs!$J731+International_Education_Costs!$K731</f>
        <v>4930</v>
      </c>
    </row>
    <row r="732" spans="1:14" x14ac:dyDescent="0.3">
      <c r="A732" s="4" t="s">
        <v>1063</v>
      </c>
      <c r="B732" s="4" t="s">
        <v>1064</v>
      </c>
      <c r="C732" s="4" t="s">
        <v>1065</v>
      </c>
      <c r="D732" s="4" t="s">
        <v>63</v>
      </c>
      <c r="E732" s="4" t="s">
        <v>75</v>
      </c>
      <c r="F732" s="4">
        <v>4</v>
      </c>
      <c r="G732" s="5">
        <v>6000</v>
      </c>
      <c r="H732" s="24">
        <v>42.5</v>
      </c>
      <c r="I732" s="16">
        <v>350</v>
      </c>
      <c r="J732" s="5">
        <v>100</v>
      </c>
      <c r="K732" s="5">
        <v>300</v>
      </c>
      <c r="L732" s="5">
        <v>56.8</v>
      </c>
      <c r="M732" s="5">
        <f>(International_Education_Costs!$G732+International_Education_Costs!$I732+International_Education_Costs!$J732+International_Education_Costs!$K732)*International_Education_Costs!$L732</f>
        <v>383400</v>
      </c>
      <c r="N732" s="5">
        <f>International_Education_Costs!$G732+International_Education_Costs!$I732+International_Education_Costs!$J732+International_Education_Costs!$K732</f>
        <v>6750</v>
      </c>
    </row>
    <row r="733" spans="1:14" x14ac:dyDescent="0.3">
      <c r="A733" s="6" t="s">
        <v>1066</v>
      </c>
      <c r="B733" s="6" t="s">
        <v>1067</v>
      </c>
      <c r="C733" s="6" t="s">
        <v>1068</v>
      </c>
      <c r="D733" s="6" t="s">
        <v>216</v>
      </c>
      <c r="E733" s="6" t="s">
        <v>16</v>
      </c>
      <c r="F733" s="6">
        <v>2</v>
      </c>
      <c r="G733" s="7">
        <v>2000</v>
      </c>
      <c r="H733" s="25">
        <v>41.2</v>
      </c>
      <c r="I733" s="17">
        <v>300</v>
      </c>
      <c r="J733" s="7">
        <v>70</v>
      </c>
      <c r="K733" s="7">
        <v>250</v>
      </c>
      <c r="L733" s="7">
        <v>10.15</v>
      </c>
      <c r="M733" s="7">
        <f>(International_Education_Costs!$G733+International_Education_Costs!$I733+International_Education_Costs!$J733+International_Education_Costs!$K733)*International_Education_Costs!$L733</f>
        <v>26593</v>
      </c>
      <c r="N733" s="7">
        <f>International_Education_Costs!$G733+International_Education_Costs!$I733+International_Education_Costs!$J733+International_Education_Costs!$K733</f>
        <v>2620</v>
      </c>
    </row>
    <row r="734" spans="1:14" x14ac:dyDescent="0.3">
      <c r="A734" s="4" t="s">
        <v>1069</v>
      </c>
      <c r="B734" s="4" t="s">
        <v>1070</v>
      </c>
      <c r="C734" s="4" t="s">
        <v>1071</v>
      </c>
      <c r="D734" s="4" t="s">
        <v>71</v>
      </c>
      <c r="E734" s="4" t="s">
        <v>16</v>
      </c>
      <c r="F734" s="4">
        <v>2</v>
      </c>
      <c r="G734" s="5">
        <v>8500</v>
      </c>
      <c r="H734" s="24">
        <v>44.8</v>
      </c>
      <c r="I734" s="16">
        <v>400</v>
      </c>
      <c r="J734" s="5">
        <v>120</v>
      </c>
      <c r="K734" s="5">
        <v>350</v>
      </c>
      <c r="L734" s="5">
        <v>3.75</v>
      </c>
      <c r="M734" s="5">
        <f>(International_Education_Costs!$G734+International_Education_Costs!$I734+International_Education_Costs!$J734+International_Education_Costs!$K734)*International_Education_Costs!$L734</f>
        <v>35137.5</v>
      </c>
      <c r="N734" s="5">
        <f>International_Education_Costs!$G734+International_Education_Costs!$I734+International_Education_Costs!$J734+International_Education_Costs!$K734</f>
        <v>9370</v>
      </c>
    </row>
    <row r="735" spans="1:14" x14ac:dyDescent="0.3">
      <c r="A735" s="6" t="s">
        <v>370</v>
      </c>
      <c r="B735" s="6" t="s">
        <v>371</v>
      </c>
      <c r="C735" s="6" t="s">
        <v>372</v>
      </c>
      <c r="D735" s="6" t="s">
        <v>15</v>
      </c>
      <c r="E735" s="6" t="s">
        <v>122</v>
      </c>
      <c r="F735" s="6">
        <v>4</v>
      </c>
      <c r="G735" s="7">
        <v>0</v>
      </c>
      <c r="H735" s="25">
        <v>42.5</v>
      </c>
      <c r="I735" s="17">
        <v>350</v>
      </c>
      <c r="J735" s="7">
        <v>90</v>
      </c>
      <c r="K735" s="7">
        <v>280</v>
      </c>
      <c r="L735" s="7">
        <v>275</v>
      </c>
      <c r="M735" s="7">
        <f>(International_Education_Costs!$G735+International_Education_Costs!$I735+International_Education_Costs!$J735+International_Education_Costs!$K735)*International_Education_Costs!$L735</f>
        <v>198000</v>
      </c>
      <c r="N735" s="7">
        <f>International_Education_Costs!$G735+International_Education_Costs!$I735+International_Education_Costs!$J735+International_Education_Costs!$K735</f>
        <v>720</v>
      </c>
    </row>
    <row r="736" spans="1:14" x14ac:dyDescent="0.3">
      <c r="A736" s="4" t="s">
        <v>1054</v>
      </c>
      <c r="B736" s="4" t="s">
        <v>1072</v>
      </c>
      <c r="C736" s="4" t="s">
        <v>1073</v>
      </c>
      <c r="D736" s="4" t="s">
        <v>40</v>
      </c>
      <c r="E736" s="4" t="s">
        <v>16</v>
      </c>
      <c r="F736" s="4">
        <v>2</v>
      </c>
      <c r="G736" s="5">
        <v>1400</v>
      </c>
      <c r="H736" s="24">
        <v>33.200000000000003</v>
      </c>
      <c r="I736" s="16">
        <v>200</v>
      </c>
      <c r="J736" s="5">
        <v>60</v>
      </c>
      <c r="K736" s="5">
        <v>200</v>
      </c>
      <c r="L736" s="5">
        <v>3.15</v>
      </c>
      <c r="M736" s="5">
        <f>(International_Education_Costs!$G736+International_Education_Costs!$I736+International_Education_Costs!$J736+International_Education_Costs!$K736)*International_Education_Costs!$L736</f>
        <v>5859</v>
      </c>
      <c r="N736" s="5">
        <f>International_Education_Costs!$G736+International_Education_Costs!$I736+International_Education_Costs!$J736+International_Education_Costs!$K736</f>
        <v>1860</v>
      </c>
    </row>
    <row r="737" spans="1:14" x14ac:dyDescent="0.3">
      <c r="A737" s="6" t="s">
        <v>1057</v>
      </c>
      <c r="B737" s="6" t="s">
        <v>1074</v>
      </c>
      <c r="C737" s="6" t="s">
        <v>1075</v>
      </c>
      <c r="D737" s="6" t="s">
        <v>242</v>
      </c>
      <c r="E737" s="6" t="s">
        <v>75</v>
      </c>
      <c r="F737" s="6">
        <v>4</v>
      </c>
      <c r="G737" s="7">
        <v>7500</v>
      </c>
      <c r="H737" s="25">
        <v>62.8</v>
      </c>
      <c r="I737" s="17">
        <v>550</v>
      </c>
      <c r="J737" s="7">
        <v>100</v>
      </c>
      <c r="K737" s="7">
        <v>500</v>
      </c>
      <c r="L737" s="7">
        <v>0.92</v>
      </c>
      <c r="M737" s="7">
        <f>(International_Education_Costs!$G737+International_Education_Costs!$I737+International_Education_Costs!$J737+International_Education_Costs!$K737)*International_Education_Costs!$L737</f>
        <v>7958</v>
      </c>
      <c r="N737" s="7">
        <f>International_Education_Costs!$G737+International_Education_Costs!$I737+International_Education_Costs!$J737+International_Education_Costs!$K737</f>
        <v>8650</v>
      </c>
    </row>
    <row r="738" spans="1:14" x14ac:dyDescent="0.3">
      <c r="A738" s="4" t="s">
        <v>1060</v>
      </c>
      <c r="B738" s="4" t="s">
        <v>1076</v>
      </c>
      <c r="C738" s="4" t="s">
        <v>1077</v>
      </c>
      <c r="D738" s="4" t="s">
        <v>252</v>
      </c>
      <c r="E738" s="4" t="s">
        <v>16</v>
      </c>
      <c r="F738" s="4">
        <v>2</v>
      </c>
      <c r="G738" s="5">
        <v>3800</v>
      </c>
      <c r="H738" s="24">
        <v>56.4</v>
      </c>
      <c r="I738" s="16">
        <v>400</v>
      </c>
      <c r="J738" s="5">
        <v>80</v>
      </c>
      <c r="K738" s="5">
        <v>400</v>
      </c>
      <c r="L738" s="5">
        <v>7.35</v>
      </c>
      <c r="M738" s="5">
        <f>(International_Education_Costs!$G738+International_Education_Costs!$I738+International_Education_Costs!$J738+International_Education_Costs!$K738)*International_Education_Costs!$L738</f>
        <v>34398</v>
      </c>
      <c r="N738" s="5">
        <f>International_Education_Costs!$G738+International_Education_Costs!$I738+International_Education_Costs!$J738+International_Education_Costs!$K738</f>
        <v>4680</v>
      </c>
    </row>
    <row r="739" spans="1:14" x14ac:dyDescent="0.3">
      <c r="A739" s="6" t="s">
        <v>1063</v>
      </c>
      <c r="B739" s="6" t="s">
        <v>1078</v>
      </c>
      <c r="C739" s="6" t="s">
        <v>1079</v>
      </c>
      <c r="D739" s="6" t="s">
        <v>223</v>
      </c>
      <c r="E739" s="6" t="s">
        <v>16</v>
      </c>
      <c r="F739" s="6">
        <v>2</v>
      </c>
      <c r="G739" s="7">
        <v>5500</v>
      </c>
      <c r="H739" s="25">
        <v>40.200000000000003</v>
      </c>
      <c r="I739" s="17">
        <v>300</v>
      </c>
      <c r="J739" s="7">
        <v>100</v>
      </c>
      <c r="K739" s="7">
        <v>300</v>
      </c>
      <c r="L739" s="7">
        <v>56.8</v>
      </c>
      <c r="M739" s="7">
        <f>(International_Education_Costs!$G739+International_Education_Costs!$I739+International_Education_Costs!$J739+International_Education_Costs!$K739)*International_Education_Costs!$L739</f>
        <v>352160</v>
      </c>
      <c r="N739" s="7">
        <f>International_Education_Costs!$G739+International_Education_Costs!$I739+International_Education_Costs!$J739+International_Education_Costs!$K739</f>
        <v>6200</v>
      </c>
    </row>
    <row r="740" spans="1:14" x14ac:dyDescent="0.3">
      <c r="A740" s="4" t="s">
        <v>1066</v>
      </c>
      <c r="B740" s="4" t="s">
        <v>1080</v>
      </c>
      <c r="C740" s="4" t="s">
        <v>1081</v>
      </c>
      <c r="D740" s="4" t="s">
        <v>63</v>
      </c>
      <c r="E740" s="4" t="s">
        <v>122</v>
      </c>
      <c r="F740" s="4">
        <v>4</v>
      </c>
      <c r="G740" s="5">
        <v>2200</v>
      </c>
      <c r="H740" s="24">
        <v>43.5</v>
      </c>
      <c r="I740" s="16">
        <v>350</v>
      </c>
      <c r="J740" s="5">
        <v>70</v>
      </c>
      <c r="K740" s="5">
        <v>250</v>
      </c>
      <c r="L740" s="5">
        <v>10.15</v>
      </c>
      <c r="M740" s="5">
        <f>(International_Education_Costs!$G740+International_Education_Costs!$I740+International_Education_Costs!$J740+International_Education_Costs!$K740)*International_Education_Costs!$L740</f>
        <v>29130.5</v>
      </c>
      <c r="N740" s="5">
        <f>International_Education_Costs!$G740+International_Education_Costs!$I740+International_Education_Costs!$J740+International_Education_Costs!$K740</f>
        <v>2870</v>
      </c>
    </row>
    <row r="741" spans="1:14" x14ac:dyDescent="0.3">
      <c r="A741" s="6" t="s">
        <v>1069</v>
      </c>
      <c r="B741" s="6" t="s">
        <v>1082</v>
      </c>
      <c r="C741" s="6" t="s">
        <v>1083</v>
      </c>
      <c r="D741" s="6" t="s">
        <v>208</v>
      </c>
      <c r="E741" s="6" t="s">
        <v>75</v>
      </c>
      <c r="F741" s="6">
        <v>4</v>
      </c>
      <c r="G741" s="7">
        <v>7000</v>
      </c>
      <c r="H741" s="25">
        <v>41.2</v>
      </c>
      <c r="I741" s="17">
        <v>300</v>
      </c>
      <c r="J741" s="7">
        <v>120</v>
      </c>
      <c r="K741" s="7">
        <v>350</v>
      </c>
      <c r="L741" s="7">
        <v>3.75</v>
      </c>
      <c r="M741" s="7">
        <f>(International_Education_Costs!$G741+International_Education_Costs!$I741+International_Education_Costs!$J741+International_Education_Costs!$K741)*International_Education_Costs!$L741</f>
        <v>29137.5</v>
      </c>
      <c r="N741" s="7">
        <f>International_Education_Costs!$G741+International_Education_Costs!$I741+International_Education_Costs!$J741+International_Education_Costs!$K741</f>
        <v>7770</v>
      </c>
    </row>
    <row r="742" spans="1:14" x14ac:dyDescent="0.3">
      <c r="A742" s="4" t="s">
        <v>370</v>
      </c>
      <c r="B742" s="4" t="s">
        <v>1084</v>
      </c>
      <c r="C742" s="4" t="s">
        <v>1085</v>
      </c>
      <c r="D742" s="4" t="s">
        <v>20</v>
      </c>
      <c r="E742" s="4" t="s">
        <v>16</v>
      </c>
      <c r="F742" s="4">
        <v>2</v>
      </c>
      <c r="G742" s="5">
        <v>0</v>
      </c>
      <c r="H742" s="24">
        <v>39.799999999999997</v>
      </c>
      <c r="I742" s="16">
        <v>280</v>
      </c>
      <c r="J742" s="5">
        <v>90</v>
      </c>
      <c r="K742" s="5">
        <v>280</v>
      </c>
      <c r="L742" s="5">
        <v>275</v>
      </c>
      <c r="M742" s="5">
        <f>(International_Education_Costs!$G742+International_Education_Costs!$I742+International_Education_Costs!$J742+International_Education_Costs!$K742)*International_Education_Costs!$L742</f>
        <v>178750</v>
      </c>
      <c r="N742" s="5">
        <f>International_Education_Costs!$G742+International_Education_Costs!$I742+International_Education_Costs!$J742+International_Education_Costs!$K742</f>
        <v>650</v>
      </c>
    </row>
    <row r="743" spans="1:14" x14ac:dyDescent="0.3">
      <c r="A743" s="6" t="s">
        <v>1054</v>
      </c>
      <c r="B743" s="6" t="s">
        <v>1086</v>
      </c>
      <c r="C743" s="6" t="s">
        <v>1087</v>
      </c>
      <c r="D743" s="6" t="s">
        <v>501</v>
      </c>
      <c r="E743" s="6" t="s">
        <v>75</v>
      </c>
      <c r="F743" s="6">
        <v>3</v>
      </c>
      <c r="G743" s="7">
        <v>1300</v>
      </c>
      <c r="H743" s="25">
        <v>32.5</v>
      </c>
      <c r="I743" s="17">
        <v>180</v>
      </c>
      <c r="J743" s="7">
        <v>60</v>
      </c>
      <c r="K743" s="7">
        <v>200</v>
      </c>
      <c r="L743" s="7">
        <v>3.15</v>
      </c>
      <c r="M743" s="7">
        <f>(International_Education_Costs!$G743+International_Education_Costs!$I743+International_Education_Costs!$J743+International_Education_Costs!$K743)*International_Education_Costs!$L743</f>
        <v>5481</v>
      </c>
      <c r="N743" s="7">
        <f>International_Education_Costs!$G743+International_Education_Costs!$I743+International_Education_Costs!$J743+International_Education_Costs!$K743</f>
        <v>1740</v>
      </c>
    </row>
    <row r="744" spans="1:14" x14ac:dyDescent="0.3">
      <c r="A744" s="4" t="s">
        <v>1057</v>
      </c>
      <c r="B744" s="4" t="s">
        <v>1088</v>
      </c>
      <c r="C744" s="4" t="s">
        <v>1089</v>
      </c>
      <c r="D744" s="4" t="s">
        <v>40</v>
      </c>
      <c r="E744" s="4" t="s">
        <v>122</v>
      </c>
      <c r="F744" s="4">
        <v>4</v>
      </c>
      <c r="G744" s="5">
        <v>8200</v>
      </c>
      <c r="H744" s="24">
        <v>61.5</v>
      </c>
      <c r="I744" s="16">
        <v>500</v>
      </c>
      <c r="J744" s="5">
        <v>100</v>
      </c>
      <c r="K744" s="5">
        <v>500</v>
      </c>
      <c r="L744" s="5">
        <v>0.92</v>
      </c>
      <c r="M744" s="5">
        <f>(International_Education_Costs!$G744+International_Education_Costs!$I744+International_Education_Costs!$J744+International_Education_Costs!$K744)*International_Education_Costs!$L744</f>
        <v>8556</v>
      </c>
      <c r="N744" s="5">
        <f>International_Education_Costs!$G744+International_Education_Costs!$I744+International_Education_Costs!$J744+International_Education_Costs!$K744</f>
        <v>9300</v>
      </c>
    </row>
    <row r="745" spans="1:14" x14ac:dyDescent="0.3">
      <c r="A745" s="6" t="s">
        <v>1060</v>
      </c>
      <c r="B745" s="6" t="s">
        <v>1090</v>
      </c>
      <c r="C745" s="6" t="s">
        <v>1091</v>
      </c>
      <c r="D745" s="6" t="s">
        <v>216</v>
      </c>
      <c r="E745" s="6" t="s">
        <v>16</v>
      </c>
      <c r="F745" s="6">
        <v>2</v>
      </c>
      <c r="G745" s="7">
        <v>3500</v>
      </c>
      <c r="H745" s="25">
        <v>54.8</v>
      </c>
      <c r="I745" s="17">
        <v>380</v>
      </c>
      <c r="J745" s="7">
        <v>80</v>
      </c>
      <c r="K745" s="7">
        <v>400</v>
      </c>
      <c r="L745" s="7">
        <v>7.35</v>
      </c>
      <c r="M745" s="7">
        <f>(International_Education_Costs!$G745+International_Education_Costs!$I745+International_Education_Costs!$J745+International_Education_Costs!$K745)*International_Education_Costs!$L745</f>
        <v>32046</v>
      </c>
      <c r="N745" s="7">
        <f>International_Education_Costs!$G745+International_Education_Costs!$I745+International_Education_Costs!$J745+International_Education_Costs!$K745</f>
        <v>4360</v>
      </c>
    </row>
    <row r="746" spans="1:14" x14ac:dyDescent="0.3">
      <c r="A746" s="4" t="s">
        <v>1063</v>
      </c>
      <c r="B746" s="4" t="s">
        <v>1092</v>
      </c>
      <c r="C746" s="4" t="s">
        <v>1093</v>
      </c>
      <c r="D746" s="4" t="s">
        <v>15</v>
      </c>
      <c r="E746" s="4" t="s">
        <v>75</v>
      </c>
      <c r="F746" s="4">
        <v>4</v>
      </c>
      <c r="G746" s="5">
        <v>5000</v>
      </c>
      <c r="H746" s="24">
        <v>38.5</v>
      </c>
      <c r="I746" s="16">
        <v>280</v>
      </c>
      <c r="J746" s="5">
        <v>100</v>
      </c>
      <c r="K746" s="5">
        <v>300</v>
      </c>
      <c r="L746" s="5">
        <v>56.8</v>
      </c>
      <c r="M746" s="5">
        <f>(International_Education_Costs!$G746+International_Education_Costs!$I746+International_Education_Costs!$J746+International_Education_Costs!$K746)*International_Education_Costs!$L746</f>
        <v>322624</v>
      </c>
      <c r="N746" s="5">
        <f>International_Education_Costs!$G746+International_Education_Costs!$I746+International_Education_Costs!$J746+International_Education_Costs!$K746</f>
        <v>5680</v>
      </c>
    </row>
    <row r="747" spans="1:14" x14ac:dyDescent="0.3">
      <c r="A747" s="6" t="s">
        <v>1066</v>
      </c>
      <c r="B747" s="6" t="s">
        <v>1094</v>
      </c>
      <c r="C747" s="6" t="s">
        <v>1095</v>
      </c>
      <c r="D747" s="6" t="s">
        <v>71</v>
      </c>
      <c r="E747" s="6" t="s">
        <v>16</v>
      </c>
      <c r="F747" s="6">
        <v>2</v>
      </c>
      <c r="G747" s="7">
        <v>1800</v>
      </c>
      <c r="H747" s="25">
        <v>39.799999999999997</v>
      </c>
      <c r="I747" s="17">
        <v>250</v>
      </c>
      <c r="J747" s="7">
        <v>70</v>
      </c>
      <c r="K747" s="7">
        <v>250</v>
      </c>
      <c r="L747" s="7">
        <v>10.15</v>
      </c>
      <c r="M747" s="7">
        <f>(International_Education_Costs!$G747+International_Education_Costs!$I747+International_Education_Costs!$J747+International_Education_Costs!$K747)*International_Education_Costs!$L747</f>
        <v>24055.5</v>
      </c>
      <c r="N747" s="7">
        <f>International_Education_Costs!$G747+International_Education_Costs!$I747+International_Education_Costs!$J747+International_Education_Costs!$K747</f>
        <v>2370</v>
      </c>
    </row>
    <row r="748" spans="1:14" x14ac:dyDescent="0.3">
      <c r="A748" s="4" t="s">
        <v>1069</v>
      </c>
      <c r="B748" s="4" t="s">
        <v>1096</v>
      </c>
      <c r="C748" s="4" t="s">
        <v>1097</v>
      </c>
      <c r="D748" s="4" t="s">
        <v>242</v>
      </c>
      <c r="E748" s="4" t="s">
        <v>122</v>
      </c>
      <c r="F748" s="4">
        <v>4</v>
      </c>
      <c r="G748" s="5">
        <v>7500</v>
      </c>
      <c r="H748" s="24">
        <v>40.5</v>
      </c>
      <c r="I748" s="16">
        <v>280</v>
      </c>
      <c r="J748" s="5">
        <v>120</v>
      </c>
      <c r="K748" s="5">
        <v>350</v>
      </c>
      <c r="L748" s="5">
        <v>3.75</v>
      </c>
      <c r="M748" s="5">
        <f>(International_Education_Costs!$G748+International_Education_Costs!$I748+International_Education_Costs!$J748+International_Education_Costs!$K748)*International_Education_Costs!$L748</f>
        <v>30937.5</v>
      </c>
      <c r="N748" s="5">
        <f>International_Education_Costs!$G748+International_Education_Costs!$I748+International_Education_Costs!$J748+International_Education_Costs!$K748</f>
        <v>8250</v>
      </c>
    </row>
    <row r="749" spans="1:14" x14ac:dyDescent="0.3">
      <c r="A749" s="6" t="s">
        <v>370</v>
      </c>
      <c r="B749" s="6" t="s">
        <v>1098</v>
      </c>
      <c r="C749" s="6" t="s">
        <v>1099</v>
      </c>
      <c r="D749" s="6" t="s">
        <v>63</v>
      </c>
      <c r="E749" s="6" t="s">
        <v>16</v>
      </c>
      <c r="F749" s="6">
        <v>2</v>
      </c>
      <c r="G749" s="7">
        <v>0</v>
      </c>
      <c r="H749" s="25">
        <v>38.5</v>
      </c>
      <c r="I749" s="17">
        <v>260</v>
      </c>
      <c r="J749" s="7">
        <v>90</v>
      </c>
      <c r="K749" s="7">
        <v>280</v>
      </c>
      <c r="L749" s="7">
        <v>275</v>
      </c>
      <c r="M749" s="7">
        <f>(International_Education_Costs!$G749+International_Education_Costs!$I749+International_Education_Costs!$J749+International_Education_Costs!$K749)*International_Education_Costs!$L749</f>
        <v>173250</v>
      </c>
      <c r="N749" s="7">
        <f>International_Education_Costs!$G749+International_Education_Costs!$I749+International_Education_Costs!$J749+International_Education_Costs!$K749</f>
        <v>630</v>
      </c>
    </row>
    <row r="750" spans="1:14" x14ac:dyDescent="0.3">
      <c r="A750" s="4" t="s">
        <v>1054</v>
      </c>
      <c r="B750" s="4" t="s">
        <v>1100</v>
      </c>
      <c r="C750" s="4" t="s">
        <v>1101</v>
      </c>
      <c r="D750" s="4" t="s">
        <v>20</v>
      </c>
      <c r="E750" s="4" t="s">
        <v>122</v>
      </c>
      <c r="F750" s="4">
        <v>4</v>
      </c>
      <c r="G750" s="5">
        <v>1600</v>
      </c>
      <c r="H750" s="24">
        <v>31.8</v>
      </c>
      <c r="I750" s="16">
        <v>170</v>
      </c>
      <c r="J750" s="5">
        <v>60</v>
      </c>
      <c r="K750" s="5">
        <v>200</v>
      </c>
      <c r="L750" s="5">
        <v>3.15</v>
      </c>
      <c r="M750" s="5">
        <f>(International_Education_Costs!$G750+International_Education_Costs!$I750+International_Education_Costs!$J750+International_Education_Costs!$K750)*International_Education_Costs!$L750</f>
        <v>6394.5</v>
      </c>
      <c r="N750" s="5">
        <f>International_Education_Costs!$G750+International_Education_Costs!$I750+International_Education_Costs!$J750+International_Education_Costs!$K750</f>
        <v>2030</v>
      </c>
    </row>
    <row r="751" spans="1:14" x14ac:dyDescent="0.3">
      <c r="A751" s="6" t="s">
        <v>1057</v>
      </c>
      <c r="B751" s="6" t="s">
        <v>1102</v>
      </c>
      <c r="C751" s="6" t="s">
        <v>1103</v>
      </c>
      <c r="D751" s="6" t="s">
        <v>208</v>
      </c>
      <c r="E751" s="6" t="s">
        <v>16</v>
      </c>
      <c r="F751" s="6">
        <v>2</v>
      </c>
      <c r="G751" s="7">
        <v>7800</v>
      </c>
      <c r="H751" s="25">
        <v>59.8</v>
      </c>
      <c r="I751" s="17">
        <v>480</v>
      </c>
      <c r="J751" s="7">
        <v>100</v>
      </c>
      <c r="K751" s="7">
        <v>500</v>
      </c>
      <c r="L751" s="7">
        <v>0.92</v>
      </c>
      <c r="M751" s="7">
        <f>(International_Education_Costs!$G751+International_Education_Costs!$I751+International_Education_Costs!$J751+International_Education_Costs!$K751)*International_Education_Costs!$L751</f>
        <v>8169.6</v>
      </c>
      <c r="N751" s="7">
        <f>International_Education_Costs!$G751+International_Education_Costs!$I751+International_Education_Costs!$J751+International_Education_Costs!$K751</f>
        <v>8880</v>
      </c>
    </row>
    <row r="752" spans="1:14" x14ac:dyDescent="0.3">
      <c r="A752" s="4" t="s">
        <v>1060</v>
      </c>
      <c r="B752" s="4" t="s">
        <v>1104</v>
      </c>
      <c r="C752" s="4" t="s">
        <v>1105</v>
      </c>
      <c r="D752" s="4" t="s">
        <v>15</v>
      </c>
      <c r="E752" s="4" t="s">
        <v>75</v>
      </c>
      <c r="F752" s="4">
        <v>3</v>
      </c>
      <c r="G752" s="5">
        <v>3200</v>
      </c>
      <c r="H752" s="24">
        <v>52.5</v>
      </c>
      <c r="I752" s="16">
        <v>350</v>
      </c>
      <c r="J752" s="5">
        <v>80</v>
      </c>
      <c r="K752" s="5">
        <v>400</v>
      </c>
      <c r="L752" s="5">
        <v>7.35</v>
      </c>
      <c r="M752" s="5">
        <f>(International_Education_Costs!$G752+International_Education_Costs!$I752+International_Education_Costs!$J752+International_Education_Costs!$K752)*International_Education_Costs!$L752</f>
        <v>29620.5</v>
      </c>
      <c r="N752" s="5">
        <f>International_Education_Costs!$G752+International_Education_Costs!$I752+International_Education_Costs!$J752+International_Education_Costs!$K752</f>
        <v>4030</v>
      </c>
    </row>
    <row r="753" spans="1:14" x14ac:dyDescent="0.3">
      <c r="A753" s="6" t="s">
        <v>1063</v>
      </c>
      <c r="B753" s="6" t="s">
        <v>1106</v>
      </c>
      <c r="C753" s="6" t="s">
        <v>1107</v>
      </c>
      <c r="D753" s="6" t="s">
        <v>216</v>
      </c>
      <c r="E753" s="6" t="s">
        <v>16</v>
      </c>
      <c r="F753" s="6">
        <v>2</v>
      </c>
      <c r="G753" s="7">
        <v>4800</v>
      </c>
      <c r="H753" s="25">
        <v>37.200000000000003</v>
      </c>
      <c r="I753" s="17">
        <v>260</v>
      </c>
      <c r="J753" s="7">
        <v>100</v>
      </c>
      <c r="K753" s="7">
        <v>300</v>
      </c>
      <c r="L753" s="7">
        <v>56.8</v>
      </c>
      <c r="M753" s="7">
        <f>(International_Education_Costs!$G753+International_Education_Costs!$I753+International_Education_Costs!$J753+International_Education_Costs!$K753)*International_Education_Costs!$L753</f>
        <v>310128</v>
      </c>
      <c r="N753" s="7">
        <f>International_Education_Costs!$G753+International_Education_Costs!$I753+International_Education_Costs!$J753+International_Education_Costs!$K753</f>
        <v>5460</v>
      </c>
    </row>
    <row r="754" spans="1:14" x14ac:dyDescent="0.3">
      <c r="A754" s="4" t="s">
        <v>1066</v>
      </c>
      <c r="B754" s="4" t="s">
        <v>1108</v>
      </c>
      <c r="C754" s="4" t="s">
        <v>1109</v>
      </c>
      <c r="D754" s="4" t="s">
        <v>40</v>
      </c>
      <c r="E754" s="4" t="s">
        <v>122</v>
      </c>
      <c r="F754" s="4">
        <v>4</v>
      </c>
      <c r="G754" s="5">
        <v>2100</v>
      </c>
      <c r="H754" s="24">
        <v>40.5</v>
      </c>
      <c r="I754" s="16">
        <v>280</v>
      </c>
      <c r="J754" s="5">
        <v>70</v>
      </c>
      <c r="K754" s="5">
        <v>250</v>
      </c>
      <c r="L754" s="5">
        <v>10.15</v>
      </c>
      <c r="M754" s="5">
        <f>(International_Education_Costs!$G754+International_Education_Costs!$I754+International_Education_Costs!$J754+International_Education_Costs!$K754)*International_Education_Costs!$L754</f>
        <v>27405</v>
      </c>
      <c r="N754" s="5">
        <f>International_Education_Costs!$G754+International_Education_Costs!$I754+International_Education_Costs!$J754+International_Education_Costs!$K754</f>
        <v>2700</v>
      </c>
    </row>
    <row r="755" spans="1:14" x14ac:dyDescent="0.3">
      <c r="A755" s="6" t="s">
        <v>1069</v>
      </c>
      <c r="B755" s="6" t="s">
        <v>1110</v>
      </c>
      <c r="C755" s="6" t="s">
        <v>1111</v>
      </c>
      <c r="D755" s="6" t="s">
        <v>71</v>
      </c>
      <c r="E755" s="6" t="s">
        <v>16</v>
      </c>
      <c r="F755" s="6">
        <v>2</v>
      </c>
      <c r="G755" s="7">
        <v>6800</v>
      </c>
      <c r="H755" s="25">
        <v>39.799999999999997</v>
      </c>
      <c r="I755" s="17">
        <v>260</v>
      </c>
      <c r="J755" s="7">
        <v>120</v>
      </c>
      <c r="K755" s="7">
        <v>350</v>
      </c>
      <c r="L755" s="7">
        <v>3.75</v>
      </c>
      <c r="M755" s="7">
        <f>(International_Education_Costs!$G755+International_Education_Costs!$I755+International_Education_Costs!$J755+International_Education_Costs!$K755)*International_Education_Costs!$L755</f>
        <v>28237.5</v>
      </c>
      <c r="N755" s="7">
        <f>International_Education_Costs!$G755+International_Education_Costs!$I755+International_Education_Costs!$J755+International_Education_Costs!$K755</f>
        <v>7530</v>
      </c>
    </row>
    <row r="756" spans="1:14" x14ac:dyDescent="0.3">
      <c r="A756" s="4" t="s">
        <v>370</v>
      </c>
      <c r="B756" s="4" t="s">
        <v>1112</v>
      </c>
      <c r="C756" s="4" t="s">
        <v>1113</v>
      </c>
      <c r="D756" s="4" t="s">
        <v>242</v>
      </c>
      <c r="E756" s="4" t="s">
        <v>75</v>
      </c>
      <c r="F756" s="4">
        <v>4</v>
      </c>
      <c r="G756" s="5">
        <v>0</v>
      </c>
      <c r="H756" s="24">
        <v>37.5</v>
      </c>
      <c r="I756" s="16">
        <v>240</v>
      </c>
      <c r="J756" s="5">
        <v>90</v>
      </c>
      <c r="K756" s="5">
        <v>280</v>
      </c>
      <c r="L756" s="5">
        <v>275</v>
      </c>
      <c r="M756" s="5">
        <f>(International_Education_Costs!$G756+International_Education_Costs!$I756+International_Education_Costs!$J756+International_Education_Costs!$K756)*International_Education_Costs!$L756</f>
        <v>167750</v>
      </c>
      <c r="N756" s="5">
        <f>International_Education_Costs!$G756+International_Education_Costs!$I756+International_Education_Costs!$J756+International_Education_Costs!$K756</f>
        <v>610</v>
      </c>
    </row>
    <row r="757" spans="1:14" x14ac:dyDescent="0.3">
      <c r="A757" s="6" t="s">
        <v>1054</v>
      </c>
      <c r="B757" s="6" t="s">
        <v>1114</v>
      </c>
      <c r="C757" s="6" t="s">
        <v>1115</v>
      </c>
      <c r="D757" s="6" t="s">
        <v>63</v>
      </c>
      <c r="E757" s="6" t="s">
        <v>16</v>
      </c>
      <c r="F757" s="6">
        <v>2</v>
      </c>
      <c r="G757" s="7">
        <v>1400</v>
      </c>
      <c r="H757" s="25">
        <v>30.5</v>
      </c>
      <c r="I757" s="17">
        <v>160</v>
      </c>
      <c r="J757" s="7">
        <v>60</v>
      </c>
      <c r="K757" s="7">
        <v>200</v>
      </c>
      <c r="L757" s="7">
        <v>3.15</v>
      </c>
      <c r="M757" s="7">
        <f>(International_Education_Costs!$G757+International_Education_Costs!$I757+International_Education_Costs!$J757+International_Education_Costs!$K757)*International_Education_Costs!$L757</f>
        <v>5733</v>
      </c>
      <c r="N757" s="7">
        <f>International_Education_Costs!$G757+International_Education_Costs!$I757+International_Education_Costs!$J757+International_Education_Costs!$K757</f>
        <v>1820</v>
      </c>
    </row>
    <row r="758" spans="1:14" x14ac:dyDescent="0.3">
      <c r="A758" s="4" t="s">
        <v>1060</v>
      </c>
      <c r="B758" s="4" t="s">
        <v>1116</v>
      </c>
      <c r="C758" s="4" t="s">
        <v>1117</v>
      </c>
      <c r="D758" s="4" t="s">
        <v>223</v>
      </c>
      <c r="E758" s="4" t="s">
        <v>122</v>
      </c>
      <c r="F758" s="4">
        <v>4</v>
      </c>
      <c r="G758" s="5">
        <v>3600</v>
      </c>
      <c r="H758" s="24">
        <v>53.2</v>
      </c>
      <c r="I758" s="16">
        <v>370</v>
      </c>
      <c r="J758" s="5">
        <v>80</v>
      </c>
      <c r="K758" s="5">
        <v>400</v>
      </c>
      <c r="L758" s="5">
        <v>7.35</v>
      </c>
      <c r="M758" s="5">
        <f>(International_Education_Costs!$G758+International_Education_Costs!$I758+International_Education_Costs!$J758+International_Education_Costs!$K758)*International_Education_Costs!$L758</f>
        <v>32707.5</v>
      </c>
      <c r="N758" s="5">
        <f>International_Education_Costs!$G758+International_Education_Costs!$I758+International_Education_Costs!$J758+International_Education_Costs!$K758</f>
        <v>4450</v>
      </c>
    </row>
    <row r="759" spans="1:14" x14ac:dyDescent="0.3">
      <c r="A759" s="6" t="s">
        <v>1057</v>
      </c>
      <c r="B759" s="6" t="s">
        <v>1118</v>
      </c>
      <c r="C759" s="6" t="s">
        <v>1119</v>
      </c>
      <c r="D759" s="6" t="s">
        <v>20</v>
      </c>
      <c r="E759" s="6" t="s">
        <v>75</v>
      </c>
      <c r="F759" s="6">
        <v>3</v>
      </c>
      <c r="G759" s="7">
        <v>7400</v>
      </c>
      <c r="H759" s="25">
        <v>58.5</v>
      </c>
      <c r="I759" s="17">
        <v>450</v>
      </c>
      <c r="J759" s="7">
        <v>100</v>
      </c>
      <c r="K759" s="7">
        <v>500</v>
      </c>
      <c r="L759" s="7">
        <v>0.92</v>
      </c>
      <c r="M759" s="7">
        <f>(International_Education_Costs!$G759+International_Education_Costs!$I759+International_Education_Costs!$J759+International_Education_Costs!$K759)*International_Education_Costs!$L759</f>
        <v>7774</v>
      </c>
      <c r="N759" s="7">
        <f>International_Education_Costs!$G759+International_Education_Costs!$I759+International_Education_Costs!$J759+International_Education_Costs!$K759</f>
        <v>8450</v>
      </c>
    </row>
    <row r="760" spans="1:14" x14ac:dyDescent="0.3">
      <c r="A760" s="4" t="s">
        <v>1063</v>
      </c>
      <c r="B760" s="4" t="s">
        <v>1120</v>
      </c>
      <c r="C760" s="4" t="s">
        <v>1121</v>
      </c>
      <c r="D760" s="4" t="s">
        <v>15</v>
      </c>
      <c r="E760" s="4" t="s">
        <v>122</v>
      </c>
      <c r="F760" s="4">
        <v>4</v>
      </c>
      <c r="G760" s="5">
        <v>4500</v>
      </c>
      <c r="H760" s="24">
        <v>36.799999999999997</v>
      </c>
      <c r="I760" s="16">
        <v>250</v>
      </c>
      <c r="J760" s="5">
        <v>100</v>
      </c>
      <c r="K760" s="5">
        <v>300</v>
      </c>
      <c r="L760" s="5">
        <v>56.8</v>
      </c>
      <c r="M760" s="5">
        <f>(International_Education_Costs!$G760+International_Education_Costs!$I760+International_Education_Costs!$J760+International_Education_Costs!$K760)*International_Education_Costs!$L760</f>
        <v>292520</v>
      </c>
      <c r="N760" s="5">
        <f>International_Education_Costs!$G760+International_Education_Costs!$I760+International_Education_Costs!$J760+International_Education_Costs!$K760</f>
        <v>5150</v>
      </c>
    </row>
    <row r="761" spans="1:14" x14ac:dyDescent="0.3">
      <c r="A761" s="6" t="s">
        <v>1066</v>
      </c>
      <c r="B761" s="6" t="s">
        <v>1122</v>
      </c>
      <c r="C761" s="6" t="s">
        <v>1123</v>
      </c>
      <c r="D761" s="6" t="s">
        <v>208</v>
      </c>
      <c r="E761" s="6" t="s">
        <v>16</v>
      </c>
      <c r="F761" s="6">
        <v>2</v>
      </c>
      <c r="G761" s="7">
        <v>1900</v>
      </c>
      <c r="H761" s="25">
        <v>38.9</v>
      </c>
      <c r="I761" s="17">
        <v>260</v>
      </c>
      <c r="J761" s="7">
        <v>70</v>
      </c>
      <c r="K761" s="7">
        <v>250</v>
      </c>
      <c r="L761" s="7">
        <v>10.15</v>
      </c>
      <c r="M761" s="7">
        <f>(International_Education_Costs!$G761+International_Education_Costs!$I761+International_Education_Costs!$J761+International_Education_Costs!$K761)*International_Education_Costs!$L761</f>
        <v>25172</v>
      </c>
      <c r="N761" s="7">
        <f>International_Education_Costs!$G761+International_Education_Costs!$I761+International_Education_Costs!$J761+International_Education_Costs!$K761</f>
        <v>2480</v>
      </c>
    </row>
    <row r="762" spans="1:14" x14ac:dyDescent="0.3">
      <c r="A762" s="4" t="s">
        <v>1069</v>
      </c>
      <c r="B762" s="4" t="s">
        <v>1124</v>
      </c>
      <c r="C762" s="4" t="s">
        <v>1125</v>
      </c>
      <c r="D762" s="4" t="s">
        <v>216</v>
      </c>
      <c r="E762" s="4" t="s">
        <v>16</v>
      </c>
      <c r="F762" s="4">
        <v>2</v>
      </c>
      <c r="G762" s="5">
        <v>7200</v>
      </c>
      <c r="H762" s="24">
        <v>38.5</v>
      </c>
      <c r="I762" s="16">
        <v>250</v>
      </c>
      <c r="J762" s="5">
        <v>120</v>
      </c>
      <c r="K762" s="5">
        <v>350</v>
      </c>
      <c r="L762" s="5">
        <v>3.75</v>
      </c>
      <c r="M762" s="5">
        <f>(International_Education_Costs!$G762+International_Education_Costs!$I762+International_Education_Costs!$J762+International_Education_Costs!$K762)*International_Education_Costs!$L762</f>
        <v>29700</v>
      </c>
      <c r="N762" s="5">
        <f>International_Education_Costs!$G762+International_Education_Costs!$I762+International_Education_Costs!$J762+International_Education_Costs!$K762</f>
        <v>7920</v>
      </c>
    </row>
    <row r="763" spans="1:14" x14ac:dyDescent="0.3">
      <c r="A763" s="6" t="s">
        <v>370</v>
      </c>
      <c r="B763" s="6" t="s">
        <v>1126</v>
      </c>
      <c r="C763" s="6" t="s">
        <v>1127</v>
      </c>
      <c r="D763" s="6" t="s">
        <v>71</v>
      </c>
      <c r="E763" s="6" t="s">
        <v>122</v>
      </c>
      <c r="F763" s="6">
        <v>4</v>
      </c>
      <c r="G763" s="7">
        <v>0</v>
      </c>
      <c r="H763" s="25">
        <v>36.799999999999997</v>
      </c>
      <c r="I763" s="17">
        <v>230</v>
      </c>
      <c r="J763" s="7">
        <v>90</v>
      </c>
      <c r="K763" s="7">
        <v>280</v>
      </c>
      <c r="L763" s="7">
        <v>275</v>
      </c>
      <c r="M763" s="7">
        <f>(International_Education_Costs!$G763+International_Education_Costs!$I763+International_Education_Costs!$J763+International_Education_Costs!$K763)*International_Education_Costs!$L763</f>
        <v>165000</v>
      </c>
      <c r="N763" s="7">
        <f>International_Education_Costs!$G763+International_Education_Costs!$I763+International_Education_Costs!$J763+International_Education_Costs!$K763</f>
        <v>600</v>
      </c>
    </row>
    <row r="764" spans="1:14" x14ac:dyDescent="0.3">
      <c r="A764" s="4" t="s">
        <v>1054</v>
      </c>
      <c r="B764" s="4" t="s">
        <v>1128</v>
      </c>
      <c r="C764" s="4" t="s">
        <v>1129</v>
      </c>
      <c r="D764" s="4" t="s">
        <v>40</v>
      </c>
      <c r="E764" s="4" t="s">
        <v>75</v>
      </c>
      <c r="F764" s="4">
        <v>3</v>
      </c>
      <c r="G764" s="5">
        <v>1200</v>
      </c>
      <c r="H764" s="24">
        <v>29.8</v>
      </c>
      <c r="I764" s="16">
        <v>150</v>
      </c>
      <c r="J764" s="5">
        <v>60</v>
      </c>
      <c r="K764" s="5">
        <v>200</v>
      </c>
      <c r="L764" s="5">
        <v>3.15</v>
      </c>
      <c r="M764" s="5">
        <f>(International_Education_Costs!$G764+International_Education_Costs!$I764+International_Education_Costs!$J764+International_Education_Costs!$K764)*International_Education_Costs!$L764</f>
        <v>5071.5</v>
      </c>
      <c r="N764" s="5">
        <f>International_Education_Costs!$G764+International_Education_Costs!$I764+International_Education_Costs!$J764+International_Education_Costs!$K764</f>
        <v>1610</v>
      </c>
    </row>
    <row r="765" spans="1:14" x14ac:dyDescent="0.3">
      <c r="A765" s="6" t="s">
        <v>1057</v>
      </c>
      <c r="B765" s="6" t="s">
        <v>1130</v>
      </c>
      <c r="C765" s="6" t="s">
        <v>1131</v>
      </c>
      <c r="D765" s="6" t="s">
        <v>63</v>
      </c>
      <c r="E765" s="6" t="s">
        <v>16</v>
      </c>
      <c r="F765" s="6">
        <v>2</v>
      </c>
      <c r="G765" s="7">
        <v>7600</v>
      </c>
      <c r="H765" s="25">
        <v>57.8</v>
      </c>
      <c r="I765" s="17">
        <v>430</v>
      </c>
      <c r="J765" s="7">
        <v>100</v>
      </c>
      <c r="K765" s="7">
        <v>500</v>
      </c>
      <c r="L765" s="7">
        <v>0.92</v>
      </c>
      <c r="M765" s="7">
        <f>(International_Education_Costs!$G765+International_Education_Costs!$I765+International_Education_Costs!$J765+International_Education_Costs!$K765)*International_Education_Costs!$L765</f>
        <v>7939.6</v>
      </c>
      <c r="N765" s="7">
        <f>International_Education_Costs!$G765+International_Education_Costs!$I765+International_Education_Costs!$J765+International_Education_Costs!$K765</f>
        <v>8630</v>
      </c>
    </row>
    <row r="766" spans="1:14" x14ac:dyDescent="0.3">
      <c r="A766" s="4" t="s">
        <v>1060</v>
      </c>
      <c r="B766" s="4" t="s">
        <v>1132</v>
      </c>
      <c r="C766" s="4" t="s">
        <v>1133</v>
      </c>
      <c r="D766" s="4" t="s">
        <v>242</v>
      </c>
      <c r="E766" s="4" t="s">
        <v>16</v>
      </c>
      <c r="F766" s="4">
        <v>2</v>
      </c>
      <c r="G766" s="5">
        <v>3400</v>
      </c>
      <c r="H766" s="24">
        <v>54.5</v>
      </c>
      <c r="I766" s="16">
        <v>390</v>
      </c>
      <c r="J766" s="5">
        <v>80</v>
      </c>
      <c r="K766" s="5">
        <v>400</v>
      </c>
      <c r="L766" s="5">
        <v>7.35</v>
      </c>
      <c r="M766" s="5">
        <f>(International_Education_Costs!$G766+International_Education_Costs!$I766+International_Education_Costs!$J766+International_Education_Costs!$K766)*International_Education_Costs!$L766</f>
        <v>31384.5</v>
      </c>
      <c r="N766" s="5">
        <f>International_Education_Costs!$G766+International_Education_Costs!$I766+International_Education_Costs!$J766+International_Education_Costs!$K766</f>
        <v>4270</v>
      </c>
    </row>
    <row r="767" spans="1:14" x14ac:dyDescent="0.3">
      <c r="A767" s="6" t="s">
        <v>1066</v>
      </c>
      <c r="B767" s="6" t="s">
        <v>1134</v>
      </c>
      <c r="C767" s="6" t="s">
        <v>1135</v>
      </c>
      <c r="D767" s="6" t="s">
        <v>15</v>
      </c>
      <c r="E767" s="6" t="s">
        <v>75</v>
      </c>
      <c r="F767" s="6">
        <v>4</v>
      </c>
      <c r="G767" s="7">
        <v>1700</v>
      </c>
      <c r="H767" s="25">
        <v>37.5</v>
      </c>
      <c r="I767" s="17">
        <v>240</v>
      </c>
      <c r="J767" s="7">
        <v>70</v>
      </c>
      <c r="K767" s="7">
        <v>250</v>
      </c>
      <c r="L767" s="7">
        <v>10.15</v>
      </c>
      <c r="M767" s="7">
        <f>(International_Education_Costs!$G767+International_Education_Costs!$I767+International_Education_Costs!$J767+International_Education_Costs!$K767)*International_Education_Costs!$L767</f>
        <v>22939</v>
      </c>
      <c r="N767" s="7">
        <f>International_Education_Costs!$G767+International_Education_Costs!$I767+International_Education_Costs!$J767+International_Education_Costs!$K767</f>
        <v>2260</v>
      </c>
    </row>
    <row r="768" spans="1:14" x14ac:dyDescent="0.3">
      <c r="A768" s="4" t="s">
        <v>1069</v>
      </c>
      <c r="B768" s="4" t="s">
        <v>1136</v>
      </c>
      <c r="C768" s="4" t="s">
        <v>1137</v>
      </c>
      <c r="D768" s="4" t="s">
        <v>252</v>
      </c>
      <c r="E768" s="4" t="s">
        <v>122</v>
      </c>
      <c r="F768" s="4">
        <v>4</v>
      </c>
      <c r="G768" s="5">
        <v>6500</v>
      </c>
      <c r="H768" s="24">
        <v>37.799999999999997</v>
      </c>
      <c r="I768" s="16">
        <v>240</v>
      </c>
      <c r="J768" s="5">
        <v>120</v>
      </c>
      <c r="K768" s="5">
        <v>350</v>
      </c>
      <c r="L768" s="5">
        <v>3.75</v>
      </c>
      <c r="M768" s="5">
        <f>(International_Education_Costs!$G768+International_Education_Costs!$I768+International_Education_Costs!$J768+International_Education_Costs!$K768)*International_Education_Costs!$L768</f>
        <v>27037.5</v>
      </c>
      <c r="N768" s="5">
        <f>International_Education_Costs!$G768+International_Education_Costs!$I768+International_Education_Costs!$J768+International_Education_Costs!$K768</f>
        <v>7210</v>
      </c>
    </row>
    <row r="769" spans="1:14" x14ac:dyDescent="0.3">
      <c r="A769" s="6" t="s">
        <v>1138</v>
      </c>
      <c r="B769" s="6" t="s">
        <v>1139</v>
      </c>
      <c r="C769" s="6" t="s">
        <v>1140</v>
      </c>
      <c r="D769" s="6" t="s">
        <v>15</v>
      </c>
      <c r="E769" s="6" t="s">
        <v>16</v>
      </c>
      <c r="F769" s="6">
        <v>2</v>
      </c>
      <c r="G769" s="7">
        <v>8500</v>
      </c>
      <c r="H769" s="25">
        <v>45.8</v>
      </c>
      <c r="I769" s="17">
        <v>400</v>
      </c>
      <c r="J769" s="7">
        <v>100</v>
      </c>
      <c r="K769" s="7">
        <v>300</v>
      </c>
      <c r="L769" s="7">
        <v>1</v>
      </c>
      <c r="M769" s="7">
        <f>(International_Education_Costs!$G769+International_Education_Costs!$I769+International_Education_Costs!$J769+International_Education_Costs!$K769)*International_Education_Costs!$L769</f>
        <v>9300</v>
      </c>
      <c r="N769" s="7">
        <f>International_Education_Costs!$G769+International_Education_Costs!$I769+International_Education_Costs!$J769+International_Education_Costs!$K769</f>
        <v>9300</v>
      </c>
    </row>
    <row r="770" spans="1:14" x14ac:dyDescent="0.3">
      <c r="A770" s="4" t="s">
        <v>1141</v>
      </c>
      <c r="B770" s="4" t="s">
        <v>1142</v>
      </c>
      <c r="C770" s="4" t="s">
        <v>1143</v>
      </c>
      <c r="D770" s="4" t="s">
        <v>20</v>
      </c>
      <c r="E770" s="4" t="s">
        <v>16</v>
      </c>
      <c r="F770" s="4">
        <v>2</v>
      </c>
      <c r="G770" s="5">
        <v>20000</v>
      </c>
      <c r="H770" s="24">
        <v>58.9</v>
      </c>
      <c r="I770" s="16">
        <v>600</v>
      </c>
      <c r="J770" s="5">
        <v>150</v>
      </c>
      <c r="K770" s="5">
        <v>500</v>
      </c>
      <c r="L770" s="5">
        <v>15000</v>
      </c>
      <c r="M770" s="5">
        <f>(International_Education_Costs!$G770+International_Education_Costs!$I770+International_Education_Costs!$J770+International_Education_Costs!$K770)*International_Education_Costs!$L770</f>
        <v>318750000</v>
      </c>
      <c r="N770" s="5">
        <f>International_Education_Costs!$G770+International_Education_Costs!$I770+International_Education_Costs!$J770+International_Education_Costs!$K770</f>
        <v>21250</v>
      </c>
    </row>
    <row r="771" spans="1:14" x14ac:dyDescent="0.3">
      <c r="A771" s="6" t="s">
        <v>1144</v>
      </c>
      <c r="B771" s="6" t="s">
        <v>1145</v>
      </c>
      <c r="C771" s="6" t="s">
        <v>1146</v>
      </c>
      <c r="D771" s="6" t="s">
        <v>208</v>
      </c>
      <c r="E771" s="6" t="s">
        <v>75</v>
      </c>
      <c r="F771" s="6">
        <v>4</v>
      </c>
      <c r="G771" s="7">
        <v>7000</v>
      </c>
      <c r="H771" s="25">
        <v>65.400000000000006</v>
      </c>
      <c r="I771" s="17">
        <v>700</v>
      </c>
      <c r="J771" s="7">
        <v>130</v>
      </c>
      <c r="K771" s="7">
        <v>600</v>
      </c>
      <c r="L771" s="7">
        <v>0.38</v>
      </c>
      <c r="M771" s="7">
        <f>(International_Education_Costs!$G771+International_Education_Costs!$I771+International_Education_Costs!$J771+International_Education_Costs!$K771)*International_Education_Costs!$L771</f>
        <v>3203.4</v>
      </c>
      <c r="N771" s="7">
        <f>International_Education_Costs!$G771+International_Education_Costs!$I771+International_Education_Costs!$J771+International_Education_Costs!$K771</f>
        <v>8430</v>
      </c>
    </row>
    <row r="772" spans="1:14" x14ac:dyDescent="0.3">
      <c r="A772" s="4" t="s">
        <v>1147</v>
      </c>
      <c r="B772" s="4" t="s">
        <v>1148</v>
      </c>
      <c r="C772" s="4" t="s">
        <v>1149</v>
      </c>
      <c r="D772" s="4" t="s">
        <v>63</v>
      </c>
      <c r="E772" s="4" t="s">
        <v>122</v>
      </c>
      <c r="F772" s="4">
        <v>4</v>
      </c>
      <c r="G772" s="5">
        <v>0</v>
      </c>
      <c r="H772" s="24">
        <v>52.4</v>
      </c>
      <c r="I772" s="16">
        <v>450</v>
      </c>
      <c r="J772" s="5">
        <v>90</v>
      </c>
      <c r="K772" s="5">
        <v>350</v>
      </c>
      <c r="L772" s="5">
        <v>39.5</v>
      </c>
      <c r="M772" s="5">
        <f>(International_Education_Costs!$G772+International_Education_Costs!$I772+International_Education_Costs!$J772+International_Education_Costs!$K772)*International_Education_Costs!$L772</f>
        <v>35155</v>
      </c>
      <c r="N772" s="5">
        <f>International_Education_Costs!$G772+International_Education_Costs!$I772+International_Education_Costs!$J772+International_Education_Costs!$K772</f>
        <v>890</v>
      </c>
    </row>
    <row r="773" spans="1:14" x14ac:dyDescent="0.3">
      <c r="A773" s="6" t="s">
        <v>1150</v>
      </c>
      <c r="B773" s="6" t="s">
        <v>1151</v>
      </c>
      <c r="C773" s="6" t="s">
        <v>1152</v>
      </c>
      <c r="D773" s="6" t="s">
        <v>216</v>
      </c>
      <c r="E773" s="6" t="s">
        <v>16</v>
      </c>
      <c r="F773" s="6">
        <v>2</v>
      </c>
      <c r="G773" s="7">
        <v>3500</v>
      </c>
      <c r="H773" s="25">
        <v>48.5</v>
      </c>
      <c r="I773" s="17">
        <v>400</v>
      </c>
      <c r="J773" s="7">
        <v>110</v>
      </c>
      <c r="K773" s="7">
        <v>300</v>
      </c>
      <c r="L773" s="7">
        <v>1.85</v>
      </c>
      <c r="M773" s="7">
        <f>(International_Education_Costs!$G773+International_Education_Costs!$I773+International_Education_Costs!$J773+International_Education_Costs!$K773)*International_Education_Costs!$L773</f>
        <v>7973.5</v>
      </c>
      <c r="N773" s="7">
        <f>International_Education_Costs!$G773+International_Education_Costs!$I773+International_Education_Costs!$J773+International_Education_Costs!$K773</f>
        <v>4310</v>
      </c>
    </row>
    <row r="774" spans="1:14" x14ac:dyDescent="0.3">
      <c r="A774" s="4" t="s">
        <v>1153</v>
      </c>
      <c r="B774" s="4" t="s">
        <v>1154</v>
      </c>
      <c r="C774" s="4" t="s">
        <v>1155</v>
      </c>
      <c r="D774" s="4" t="s">
        <v>71</v>
      </c>
      <c r="E774" s="4" t="s">
        <v>16</v>
      </c>
      <c r="F774" s="4">
        <v>2</v>
      </c>
      <c r="G774" s="5">
        <v>4500</v>
      </c>
      <c r="H774" s="24">
        <v>42.1</v>
      </c>
      <c r="I774" s="16">
        <v>300</v>
      </c>
      <c r="J774" s="5">
        <v>120</v>
      </c>
      <c r="K774" s="5">
        <v>250</v>
      </c>
      <c r="L774" s="5">
        <v>12</v>
      </c>
      <c r="M774" s="5">
        <f>(International_Education_Costs!$G774+International_Education_Costs!$I774+International_Education_Costs!$J774+International_Education_Costs!$K774)*International_Education_Costs!$L774</f>
        <v>62040</v>
      </c>
      <c r="N774" s="5">
        <f>International_Education_Costs!$G774+International_Education_Costs!$I774+International_Education_Costs!$J774+International_Education_Costs!$K774</f>
        <v>5170</v>
      </c>
    </row>
    <row r="775" spans="1:14" x14ac:dyDescent="0.3">
      <c r="A775" s="6" t="s">
        <v>1156</v>
      </c>
      <c r="B775" s="6" t="s">
        <v>1157</v>
      </c>
      <c r="C775" s="6" t="s">
        <v>1158</v>
      </c>
      <c r="D775" s="6" t="s">
        <v>15</v>
      </c>
      <c r="E775" s="6" t="s">
        <v>75</v>
      </c>
      <c r="F775" s="6">
        <v>3</v>
      </c>
      <c r="G775" s="7">
        <v>1200</v>
      </c>
      <c r="H775" s="25">
        <v>38.5</v>
      </c>
      <c r="I775" s="17">
        <v>250</v>
      </c>
      <c r="J775" s="7">
        <v>80</v>
      </c>
      <c r="K775" s="7">
        <v>200</v>
      </c>
      <c r="L775" s="7">
        <v>137.5</v>
      </c>
      <c r="M775" s="7">
        <f>(International_Education_Costs!$G775+International_Education_Costs!$I775+International_Education_Costs!$J775+International_Education_Costs!$K775)*International_Education_Costs!$L775</f>
        <v>237875</v>
      </c>
      <c r="N775" s="7">
        <f>International_Education_Costs!$G775+International_Education_Costs!$I775+International_Education_Costs!$J775+International_Education_Costs!$K775</f>
        <v>1730</v>
      </c>
    </row>
    <row r="776" spans="1:14" x14ac:dyDescent="0.3">
      <c r="A776" s="4" t="s">
        <v>1159</v>
      </c>
      <c r="B776" s="4" t="s">
        <v>1160</v>
      </c>
      <c r="C776" s="4" t="s">
        <v>1161</v>
      </c>
      <c r="D776" s="4" t="s">
        <v>40</v>
      </c>
      <c r="E776" s="4" t="s">
        <v>16</v>
      </c>
      <c r="F776" s="4">
        <v>2</v>
      </c>
      <c r="G776" s="5">
        <v>7500</v>
      </c>
      <c r="H776" s="24">
        <v>51.2</v>
      </c>
      <c r="I776" s="16">
        <v>600</v>
      </c>
      <c r="J776" s="5">
        <v>100</v>
      </c>
      <c r="K776" s="5">
        <v>400</v>
      </c>
      <c r="L776" s="5">
        <v>1</v>
      </c>
      <c r="M776" s="5">
        <f>(International_Education_Costs!$G776+International_Education_Costs!$I776+International_Education_Costs!$J776+International_Education_Costs!$K776)*International_Education_Costs!$L776</f>
        <v>8600</v>
      </c>
      <c r="N776" s="5">
        <f>International_Education_Costs!$G776+International_Education_Costs!$I776+International_Education_Costs!$J776+International_Education_Costs!$K776</f>
        <v>8600</v>
      </c>
    </row>
    <row r="777" spans="1:14" x14ac:dyDescent="0.3">
      <c r="A777" s="6" t="s">
        <v>1138</v>
      </c>
      <c r="B777" s="6" t="s">
        <v>1162</v>
      </c>
      <c r="C777" s="6" t="s">
        <v>1163</v>
      </c>
      <c r="D777" s="6" t="s">
        <v>242</v>
      </c>
      <c r="E777" s="6" t="s">
        <v>122</v>
      </c>
      <c r="F777" s="6">
        <v>4</v>
      </c>
      <c r="G777" s="7">
        <v>7800</v>
      </c>
      <c r="H777" s="25">
        <v>43.2</v>
      </c>
      <c r="I777" s="17">
        <v>350</v>
      </c>
      <c r="J777" s="7">
        <v>100</v>
      </c>
      <c r="K777" s="7">
        <v>300</v>
      </c>
      <c r="L777" s="7">
        <v>1</v>
      </c>
      <c r="M777" s="7">
        <f>(International_Education_Costs!$G777+International_Education_Costs!$I777+International_Education_Costs!$J777+International_Education_Costs!$K777)*International_Education_Costs!$L777</f>
        <v>8550</v>
      </c>
      <c r="N777" s="7">
        <f>International_Education_Costs!$G777+International_Education_Costs!$I777+International_Education_Costs!$J777+International_Education_Costs!$K777</f>
        <v>8550</v>
      </c>
    </row>
    <row r="778" spans="1:14" x14ac:dyDescent="0.3">
      <c r="A778" s="4" t="s">
        <v>1141</v>
      </c>
      <c r="B778" s="4" t="s">
        <v>1164</v>
      </c>
      <c r="C778" s="4" t="s">
        <v>1165</v>
      </c>
      <c r="D778" s="4" t="s">
        <v>252</v>
      </c>
      <c r="E778" s="4" t="s">
        <v>16</v>
      </c>
      <c r="F778" s="4">
        <v>2</v>
      </c>
      <c r="G778" s="5">
        <v>18000</v>
      </c>
      <c r="H778" s="24">
        <v>55.4</v>
      </c>
      <c r="I778" s="16">
        <v>500</v>
      </c>
      <c r="J778" s="5">
        <v>150</v>
      </c>
      <c r="K778" s="5">
        <v>500</v>
      </c>
      <c r="L778" s="5">
        <v>15000</v>
      </c>
      <c r="M778" s="5">
        <f>(International_Education_Costs!$G778+International_Education_Costs!$I778+International_Education_Costs!$J778+International_Education_Costs!$K778)*International_Education_Costs!$L778</f>
        <v>287250000</v>
      </c>
      <c r="N778" s="5">
        <f>International_Education_Costs!$G778+International_Education_Costs!$I778+International_Education_Costs!$J778+International_Education_Costs!$K778</f>
        <v>19150</v>
      </c>
    </row>
    <row r="779" spans="1:14" x14ac:dyDescent="0.3">
      <c r="A779" s="6" t="s">
        <v>1144</v>
      </c>
      <c r="B779" s="6" t="s">
        <v>1166</v>
      </c>
      <c r="C779" s="6" t="s">
        <v>1167</v>
      </c>
      <c r="D779" s="6" t="s">
        <v>223</v>
      </c>
      <c r="E779" s="6" t="s">
        <v>16</v>
      </c>
      <c r="F779" s="6">
        <v>2</v>
      </c>
      <c r="G779" s="7">
        <v>8000</v>
      </c>
      <c r="H779" s="25">
        <v>63.2</v>
      </c>
      <c r="I779" s="17">
        <v>650</v>
      </c>
      <c r="J779" s="7">
        <v>130</v>
      </c>
      <c r="K779" s="7">
        <v>600</v>
      </c>
      <c r="L779" s="7">
        <v>0.38</v>
      </c>
      <c r="M779" s="7">
        <f>(International_Education_Costs!$G779+International_Education_Costs!$I779+International_Education_Costs!$J779+International_Education_Costs!$K779)*International_Education_Costs!$L779</f>
        <v>3564.4</v>
      </c>
      <c r="N779" s="7">
        <f>International_Education_Costs!$G779+International_Education_Costs!$I779+International_Education_Costs!$J779+International_Education_Costs!$K779</f>
        <v>9380</v>
      </c>
    </row>
    <row r="780" spans="1:14" x14ac:dyDescent="0.3">
      <c r="A780" s="4" t="s">
        <v>1147</v>
      </c>
      <c r="B780" s="4" t="s">
        <v>1168</v>
      </c>
      <c r="C780" s="4" t="s">
        <v>1169</v>
      </c>
      <c r="D780" s="4" t="s">
        <v>15</v>
      </c>
      <c r="E780" s="4" t="s">
        <v>16</v>
      </c>
      <c r="F780" s="4">
        <v>2</v>
      </c>
      <c r="G780" s="5">
        <v>6500</v>
      </c>
      <c r="H780" s="24">
        <v>48.5</v>
      </c>
      <c r="I780" s="16">
        <v>380</v>
      </c>
      <c r="J780" s="5">
        <v>90</v>
      </c>
      <c r="K780" s="5">
        <v>350</v>
      </c>
      <c r="L780" s="5">
        <v>39.5</v>
      </c>
      <c r="M780" s="5">
        <f>(International_Education_Costs!$G780+International_Education_Costs!$I780+International_Education_Costs!$J780+International_Education_Costs!$K780)*International_Education_Costs!$L780</f>
        <v>289140</v>
      </c>
      <c r="N780" s="5">
        <f>International_Education_Costs!$G780+International_Education_Costs!$I780+International_Education_Costs!$J780+International_Education_Costs!$K780</f>
        <v>7320</v>
      </c>
    </row>
    <row r="781" spans="1:14" x14ac:dyDescent="0.3">
      <c r="A781" s="6" t="s">
        <v>1150</v>
      </c>
      <c r="B781" s="6" t="s">
        <v>1170</v>
      </c>
      <c r="C781" s="6" t="s">
        <v>1171</v>
      </c>
      <c r="D781" s="6" t="s">
        <v>20</v>
      </c>
      <c r="E781" s="6" t="s">
        <v>75</v>
      </c>
      <c r="F781" s="6">
        <v>3</v>
      </c>
      <c r="G781" s="7">
        <v>3200</v>
      </c>
      <c r="H781" s="25">
        <v>45.8</v>
      </c>
      <c r="I781" s="17">
        <v>350</v>
      </c>
      <c r="J781" s="7">
        <v>110</v>
      </c>
      <c r="K781" s="7">
        <v>300</v>
      </c>
      <c r="L781" s="7">
        <v>1.85</v>
      </c>
      <c r="M781" s="7">
        <f>(International_Education_Costs!$G781+International_Education_Costs!$I781+International_Education_Costs!$J781+International_Education_Costs!$K781)*International_Education_Costs!$L781</f>
        <v>7326</v>
      </c>
      <c r="N781" s="7">
        <f>International_Education_Costs!$G781+International_Education_Costs!$I781+International_Education_Costs!$J781+International_Education_Costs!$K781</f>
        <v>3960</v>
      </c>
    </row>
    <row r="782" spans="1:14" x14ac:dyDescent="0.3">
      <c r="A782" s="4" t="s">
        <v>1153</v>
      </c>
      <c r="B782" s="4" t="s">
        <v>1172</v>
      </c>
      <c r="C782" s="4" t="s">
        <v>1173</v>
      </c>
      <c r="D782" s="4" t="s">
        <v>208</v>
      </c>
      <c r="E782" s="4" t="s">
        <v>122</v>
      </c>
      <c r="F782" s="4">
        <v>4</v>
      </c>
      <c r="G782" s="5">
        <v>4200</v>
      </c>
      <c r="H782" s="24">
        <v>39.799999999999997</v>
      </c>
      <c r="I782" s="16">
        <v>250</v>
      </c>
      <c r="J782" s="5">
        <v>120</v>
      </c>
      <c r="K782" s="5">
        <v>250</v>
      </c>
      <c r="L782" s="5">
        <v>12</v>
      </c>
      <c r="M782" s="5">
        <f>(International_Education_Costs!$G782+International_Education_Costs!$I782+International_Education_Costs!$J782+International_Education_Costs!$K782)*International_Education_Costs!$L782</f>
        <v>57840</v>
      </c>
      <c r="N782" s="5">
        <f>International_Education_Costs!$G782+International_Education_Costs!$I782+International_Education_Costs!$J782+International_Education_Costs!$K782</f>
        <v>4820</v>
      </c>
    </row>
    <row r="783" spans="1:14" x14ac:dyDescent="0.3">
      <c r="A783" s="6" t="s">
        <v>1156</v>
      </c>
      <c r="B783" s="6" t="s">
        <v>1174</v>
      </c>
      <c r="C783" s="6" t="s">
        <v>1175</v>
      </c>
      <c r="D783" s="6" t="s">
        <v>63</v>
      </c>
      <c r="E783" s="6" t="s">
        <v>16</v>
      </c>
      <c r="F783" s="6">
        <v>2</v>
      </c>
      <c r="G783" s="7">
        <v>1100</v>
      </c>
      <c r="H783" s="25">
        <v>36.4</v>
      </c>
      <c r="I783" s="17">
        <v>220</v>
      </c>
      <c r="J783" s="7">
        <v>80</v>
      </c>
      <c r="K783" s="7">
        <v>200</v>
      </c>
      <c r="L783" s="7">
        <v>137.5</v>
      </c>
      <c r="M783" s="7">
        <f>(International_Education_Costs!$G783+International_Education_Costs!$I783+International_Education_Costs!$J783+International_Education_Costs!$K783)*International_Education_Costs!$L783</f>
        <v>220000</v>
      </c>
      <c r="N783" s="7">
        <f>International_Education_Costs!$G783+International_Education_Costs!$I783+International_Education_Costs!$J783+International_Education_Costs!$K783</f>
        <v>1600</v>
      </c>
    </row>
    <row r="784" spans="1:14" x14ac:dyDescent="0.3">
      <c r="A784" s="4" t="s">
        <v>1159</v>
      </c>
      <c r="B784" s="4" t="s">
        <v>1176</v>
      </c>
      <c r="C784" s="4" t="s">
        <v>1177</v>
      </c>
      <c r="D784" s="4" t="s">
        <v>71</v>
      </c>
      <c r="E784" s="4" t="s">
        <v>75</v>
      </c>
      <c r="F784" s="4">
        <v>4</v>
      </c>
      <c r="G784" s="5">
        <v>6800</v>
      </c>
      <c r="H784" s="24">
        <v>47.5</v>
      </c>
      <c r="I784" s="16">
        <v>450</v>
      </c>
      <c r="J784" s="5">
        <v>100</v>
      </c>
      <c r="K784" s="5">
        <v>400</v>
      </c>
      <c r="L784" s="5">
        <v>1</v>
      </c>
      <c r="M784" s="5">
        <f>(International_Education_Costs!$G784+International_Education_Costs!$I784+International_Education_Costs!$J784+International_Education_Costs!$K784)*International_Education_Costs!$L784</f>
        <v>7750</v>
      </c>
      <c r="N784" s="5">
        <f>International_Education_Costs!$G784+International_Education_Costs!$I784+International_Education_Costs!$J784+International_Education_Costs!$K784</f>
        <v>7750</v>
      </c>
    </row>
    <row r="785" spans="1:14" x14ac:dyDescent="0.3">
      <c r="A785" s="6" t="s">
        <v>1138</v>
      </c>
      <c r="B785" s="6" t="s">
        <v>1178</v>
      </c>
      <c r="C785" s="6" t="s">
        <v>1179</v>
      </c>
      <c r="D785" s="6" t="s">
        <v>216</v>
      </c>
      <c r="E785" s="6" t="s">
        <v>16</v>
      </c>
      <c r="F785" s="6">
        <v>2</v>
      </c>
      <c r="G785" s="7">
        <v>7200</v>
      </c>
      <c r="H785" s="25">
        <v>42.5</v>
      </c>
      <c r="I785" s="17">
        <v>320</v>
      </c>
      <c r="J785" s="7">
        <v>100</v>
      </c>
      <c r="K785" s="7">
        <v>300</v>
      </c>
      <c r="L785" s="7">
        <v>1</v>
      </c>
      <c r="M785" s="7">
        <f>(International_Education_Costs!$G785+International_Education_Costs!$I785+International_Education_Costs!$J785+International_Education_Costs!$K785)*International_Education_Costs!$L785</f>
        <v>7920</v>
      </c>
      <c r="N785" s="7">
        <f>International_Education_Costs!$G785+International_Education_Costs!$I785+International_Education_Costs!$J785+International_Education_Costs!$K785</f>
        <v>7920</v>
      </c>
    </row>
    <row r="786" spans="1:14" x14ac:dyDescent="0.3">
      <c r="A786" s="4" t="s">
        <v>1141</v>
      </c>
      <c r="B786" s="4" t="s">
        <v>1180</v>
      </c>
      <c r="C786" s="4" t="s">
        <v>1181</v>
      </c>
      <c r="D786" s="4" t="s">
        <v>15</v>
      </c>
      <c r="E786" s="4" t="s">
        <v>122</v>
      </c>
      <c r="F786" s="4">
        <v>4</v>
      </c>
      <c r="G786" s="5">
        <v>2000</v>
      </c>
      <c r="H786" s="24">
        <v>52.1</v>
      </c>
      <c r="I786" s="16">
        <v>400</v>
      </c>
      <c r="J786" s="5">
        <v>150</v>
      </c>
      <c r="K786" s="5">
        <v>500</v>
      </c>
      <c r="L786" s="5">
        <v>15000</v>
      </c>
      <c r="M786" s="5">
        <f>(International_Education_Costs!$G786+International_Education_Costs!$I786+International_Education_Costs!$J786+International_Education_Costs!$K786)*International_Education_Costs!$L786</f>
        <v>45750000</v>
      </c>
      <c r="N786" s="5">
        <f>International_Education_Costs!$G786+International_Education_Costs!$I786+International_Education_Costs!$J786+International_Education_Costs!$K786</f>
        <v>3050</v>
      </c>
    </row>
    <row r="787" spans="1:14" x14ac:dyDescent="0.3">
      <c r="A787" s="6" t="s">
        <v>1144</v>
      </c>
      <c r="B787" s="6" t="s">
        <v>1182</v>
      </c>
      <c r="C787" s="6" t="s">
        <v>1183</v>
      </c>
      <c r="D787" s="6" t="s">
        <v>242</v>
      </c>
      <c r="E787" s="6" t="s">
        <v>75</v>
      </c>
      <c r="F787" s="6">
        <v>4</v>
      </c>
      <c r="G787" s="7">
        <v>6500</v>
      </c>
      <c r="H787" s="25">
        <v>61.8</v>
      </c>
      <c r="I787" s="17">
        <v>600</v>
      </c>
      <c r="J787" s="7">
        <v>130</v>
      </c>
      <c r="K787" s="7">
        <v>600</v>
      </c>
      <c r="L787" s="7">
        <v>0.38</v>
      </c>
      <c r="M787" s="7">
        <f>(International_Education_Costs!$G787+International_Education_Costs!$I787+International_Education_Costs!$J787+International_Education_Costs!$K787)*International_Education_Costs!$L787</f>
        <v>2975.4</v>
      </c>
      <c r="N787" s="7">
        <f>International_Education_Costs!$G787+International_Education_Costs!$I787+International_Education_Costs!$J787+International_Education_Costs!$K787</f>
        <v>7830</v>
      </c>
    </row>
    <row r="788" spans="1:14" x14ac:dyDescent="0.3">
      <c r="A788" s="4" t="s">
        <v>1147</v>
      </c>
      <c r="B788" s="4" t="s">
        <v>1184</v>
      </c>
      <c r="C788" s="4" t="s">
        <v>1185</v>
      </c>
      <c r="D788" s="4" t="s">
        <v>20</v>
      </c>
      <c r="E788" s="4" t="s">
        <v>16</v>
      </c>
      <c r="F788" s="4">
        <v>2</v>
      </c>
      <c r="G788" s="5">
        <v>7000</v>
      </c>
      <c r="H788" s="24">
        <v>49.2</v>
      </c>
      <c r="I788" s="16">
        <v>400</v>
      </c>
      <c r="J788" s="5">
        <v>90</v>
      </c>
      <c r="K788" s="5">
        <v>350</v>
      </c>
      <c r="L788" s="5">
        <v>39.5</v>
      </c>
      <c r="M788" s="5">
        <f>(International_Education_Costs!$G788+International_Education_Costs!$I788+International_Education_Costs!$J788+International_Education_Costs!$K788)*International_Education_Costs!$L788</f>
        <v>309680</v>
      </c>
      <c r="N788" s="5">
        <f>International_Education_Costs!$G788+International_Education_Costs!$I788+International_Education_Costs!$J788+International_Education_Costs!$K788</f>
        <v>7840</v>
      </c>
    </row>
    <row r="789" spans="1:14" x14ac:dyDescent="0.3">
      <c r="A789" s="6" t="s">
        <v>1150</v>
      </c>
      <c r="B789" s="6" t="s">
        <v>1186</v>
      </c>
      <c r="C789" s="6" t="s">
        <v>1187</v>
      </c>
      <c r="D789" s="6" t="s">
        <v>63</v>
      </c>
      <c r="E789" s="6" t="s">
        <v>16</v>
      </c>
      <c r="F789" s="6">
        <v>2</v>
      </c>
      <c r="G789" s="7">
        <v>3100</v>
      </c>
      <c r="H789" s="25">
        <v>44.2</v>
      </c>
      <c r="I789" s="17">
        <v>330</v>
      </c>
      <c r="J789" s="7">
        <v>110</v>
      </c>
      <c r="K789" s="7">
        <v>300</v>
      </c>
      <c r="L789" s="7">
        <v>1.85</v>
      </c>
      <c r="M789" s="7">
        <f>(International_Education_Costs!$G789+International_Education_Costs!$I789+International_Education_Costs!$J789+International_Education_Costs!$K789)*International_Education_Costs!$L789</f>
        <v>7104</v>
      </c>
      <c r="N789" s="7">
        <f>International_Education_Costs!$G789+International_Education_Costs!$I789+International_Education_Costs!$J789+International_Education_Costs!$K789</f>
        <v>3840</v>
      </c>
    </row>
    <row r="790" spans="1:14" x14ac:dyDescent="0.3">
      <c r="A790" s="4" t="s">
        <v>1153</v>
      </c>
      <c r="B790" s="4" t="s">
        <v>1188</v>
      </c>
      <c r="C790" s="4" t="s">
        <v>1189</v>
      </c>
      <c r="D790" s="4" t="s">
        <v>223</v>
      </c>
      <c r="E790" s="4" t="s">
        <v>16</v>
      </c>
      <c r="F790" s="4">
        <v>2</v>
      </c>
      <c r="G790" s="5">
        <v>4000</v>
      </c>
      <c r="H790" s="24">
        <v>38.5</v>
      </c>
      <c r="I790" s="16">
        <v>230</v>
      </c>
      <c r="J790" s="5">
        <v>120</v>
      </c>
      <c r="K790" s="5">
        <v>250</v>
      </c>
      <c r="L790" s="5">
        <v>12</v>
      </c>
      <c r="M790" s="5">
        <f>(International_Education_Costs!$G790+International_Education_Costs!$I790+International_Education_Costs!$J790+International_Education_Costs!$K790)*International_Education_Costs!$L790</f>
        <v>55200</v>
      </c>
      <c r="N790" s="5">
        <f>International_Education_Costs!$G790+International_Education_Costs!$I790+International_Education_Costs!$J790+International_Education_Costs!$K790</f>
        <v>4600</v>
      </c>
    </row>
    <row r="791" spans="1:14" x14ac:dyDescent="0.3">
      <c r="A791" s="6" t="s">
        <v>1156</v>
      </c>
      <c r="B791" s="6" t="s">
        <v>1190</v>
      </c>
      <c r="C791" s="6" t="s">
        <v>1191</v>
      </c>
      <c r="D791" s="6" t="s">
        <v>71</v>
      </c>
      <c r="E791" s="6" t="s">
        <v>122</v>
      </c>
      <c r="F791" s="6">
        <v>4</v>
      </c>
      <c r="G791" s="7">
        <v>1300</v>
      </c>
      <c r="H791" s="25">
        <v>35.799999999999997</v>
      </c>
      <c r="I791" s="17">
        <v>200</v>
      </c>
      <c r="J791" s="7">
        <v>80</v>
      </c>
      <c r="K791" s="7">
        <v>200</v>
      </c>
      <c r="L791" s="7">
        <v>137.5</v>
      </c>
      <c r="M791" s="7">
        <f>(International_Education_Costs!$G791+International_Education_Costs!$I791+International_Education_Costs!$J791+International_Education_Costs!$K791)*International_Education_Costs!$L791</f>
        <v>244750</v>
      </c>
      <c r="N791" s="7">
        <f>International_Education_Costs!$G791+International_Education_Costs!$I791+International_Education_Costs!$J791+International_Education_Costs!$K791</f>
        <v>1780</v>
      </c>
    </row>
    <row r="792" spans="1:14" x14ac:dyDescent="0.3">
      <c r="A792" s="4" t="s">
        <v>1159</v>
      </c>
      <c r="B792" s="4" t="s">
        <v>1078</v>
      </c>
      <c r="C792" s="4" t="s">
        <v>1192</v>
      </c>
      <c r="D792" s="4" t="s">
        <v>15</v>
      </c>
      <c r="E792" s="4" t="s">
        <v>16</v>
      </c>
      <c r="F792" s="4">
        <v>2</v>
      </c>
      <c r="G792" s="5">
        <v>6500</v>
      </c>
      <c r="H792" s="24">
        <v>45.8</v>
      </c>
      <c r="I792" s="16">
        <v>400</v>
      </c>
      <c r="J792" s="5">
        <v>100</v>
      </c>
      <c r="K792" s="5">
        <v>400</v>
      </c>
      <c r="L792" s="5">
        <v>1</v>
      </c>
      <c r="M792" s="5">
        <f>(International_Education_Costs!$G792+International_Education_Costs!$I792+International_Education_Costs!$J792+International_Education_Costs!$K792)*International_Education_Costs!$L792</f>
        <v>7400</v>
      </c>
      <c r="N792" s="5">
        <f>International_Education_Costs!$G792+International_Education_Costs!$I792+International_Education_Costs!$J792+International_Education_Costs!$K792</f>
        <v>7400</v>
      </c>
    </row>
    <row r="793" spans="1:14" x14ac:dyDescent="0.3">
      <c r="A793" s="6" t="s">
        <v>1138</v>
      </c>
      <c r="B793" s="6" t="s">
        <v>1193</v>
      </c>
      <c r="C793" s="6" t="s">
        <v>1194</v>
      </c>
      <c r="D793" s="6" t="s">
        <v>40</v>
      </c>
      <c r="E793" s="6" t="s">
        <v>75</v>
      </c>
      <c r="F793" s="6">
        <v>3</v>
      </c>
      <c r="G793" s="7">
        <v>6800</v>
      </c>
      <c r="H793" s="25">
        <v>41.2</v>
      </c>
      <c r="I793" s="17">
        <v>300</v>
      </c>
      <c r="J793" s="7">
        <v>100</v>
      </c>
      <c r="K793" s="7">
        <v>300</v>
      </c>
      <c r="L793" s="7">
        <v>1</v>
      </c>
      <c r="M793" s="7">
        <f>(International_Education_Costs!$G793+International_Education_Costs!$I793+International_Education_Costs!$J793+International_Education_Costs!$K793)*International_Education_Costs!$L793</f>
        <v>7500</v>
      </c>
      <c r="N793" s="7">
        <f>International_Education_Costs!$G793+International_Education_Costs!$I793+International_Education_Costs!$J793+International_Education_Costs!$K793</f>
        <v>7500</v>
      </c>
    </row>
    <row r="794" spans="1:14" x14ac:dyDescent="0.3">
      <c r="A794" s="4" t="s">
        <v>1141</v>
      </c>
      <c r="B794" s="4" t="s">
        <v>1195</v>
      </c>
      <c r="C794" s="4" t="s">
        <v>1196</v>
      </c>
      <c r="D794" s="4" t="s">
        <v>208</v>
      </c>
      <c r="E794" s="4" t="s">
        <v>16</v>
      </c>
      <c r="F794" s="4">
        <v>2</v>
      </c>
      <c r="G794" s="5">
        <v>16000</v>
      </c>
      <c r="H794" s="24">
        <v>54.5</v>
      </c>
      <c r="I794" s="16">
        <v>450</v>
      </c>
      <c r="J794" s="5">
        <v>150</v>
      </c>
      <c r="K794" s="5">
        <v>500</v>
      </c>
      <c r="L794" s="5">
        <v>15000</v>
      </c>
      <c r="M794" s="5">
        <f>(International_Education_Costs!$G794+International_Education_Costs!$I794+International_Education_Costs!$J794+International_Education_Costs!$K794)*International_Education_Costs!$L794</f>
        <v>256500000</v>
      </c>
      <c r="N794" s="5">
        <f>International_Education_Costs!$G794+International_Education_Costs!$I794+International_Education_Costs!$J794+International_Education_Costs!$K794</f>
        <v>17100</v>
      </c>
    </row>
    <row r="795" spans="1:14" x14ac:dyDescent="0.3">
      <c r="A795" s="6" t="s">
        <v>1144</v>
      </c>
      <c r="B795" s="6" t="s">
        <v>1197</v>
      </c>
      <c r="C795" s="6" t="s">
        <v>1198</v>
      </c>
      <c r="D795" s="6" t="s">
        <v>20</v>
      </c>
      <c r="E795" s="6" t="s">
        <v>122</v>
      </c>
      <c r="F795" s="6">
        <v>4</v>
      </c>
      <c r="G795" s="7">
        <v>9000</v>
      </c>
      <c r="H795" s="25">
        <v>62.4</v>
      </c>
      <c r="I795" s="17">
        <v>620</v>
      </c>
      <c r="J795" s="7">
        <v>130</v>
      </c>
      <c r="K795" s="7">
        <v>600</v>
      </c>
      <c r="L795" s="7">
        <v>0.38</v>
      </c>
      <c r="M795" s="7">
        <f>(International_Education_Costs!$G795+International_Education_Costs!$I795+International_Education_Costs!$J795+International_Education_Costs!$K795)*International_Education_Costs!$L795</f>
        <v>3933</v>
      </c>
      <c r="N795" s="7">
        <f>International_Education_Costs!$G795+International_Education_Costs!$I795+International_Education_Costs!$J795+International_Education_Costs!$K795</f>
        <v>10350</v>
      </c>
    </row>
    <row r="796" spans="1:14" x14ac:dyDescent="0.3">
      <c r="A796" s="4" t="s">
        <v>1147</v>
      </c>
      <c r="B796" s="4" t="s">
        <v>1199</v>
      </c>
      <c r="C796" s="4" t="s">
        <v>1200</v>
      </c>
      <c r="D796" s="4" t="s">
        <v>216</v>
      </c>
      <c r="E796" s="4" t="s">
        <v>75</v>
      </c>
      <c r="F796" s="4">
        <v>4</v>
      </c>
      <c r="G796" s="5">
        <v>0</v>
      </c>
      <c r="H796" s="24">
        <v>47.8</v>
      </c>
      <c r="I796" s="16">
        <v>350</v>
      </c>
      <c r="J796" s="5">
        <v>90</v>
      </c>
      <c r="K796" s="5">
        <v>350</v>
      </c>
      <c r="L796" s="5">
        <v>39.5</v>
      </c>
      <c r="M796" s="5">
        <f>(International_Education_Costs!$G796+International_Education_Costs!$I796+International_Education_Costs!$J796+International_Education_Costs!$K796)*International_Education_Costs!$L796</f>
        <v>31205</v>
      </c>
      <c r="N796" s="5">
        <f>International_Education_Costs!$G796+International_Education_Costs!$I796+International_Education_Costs!$J796+International_Education_Costs!$K796</f>
        <v>790</v>
      </c>
    </row>
    <row r="797" spans="1:14" x14ac:dyDescent="0.3">
      <c r="A797" s="6" t="s">
        <v>1150</v>
      </c>
      <c r="B797" s="6" t="s">
        <v>1201</v>
      </c>
      <c r="C797" s="6" t="s">
        <v>1202</v>
      </c>
      <c r="D797" s="6" t="s">
        <v>15</v>
      </c>
      <c r="E797" s="6" t="s">
        <v>16</v>
      </c>
      <c r="F797" s="6">
        <v>2</v>
      </c>
      <c r="G797" s="7">
        <v>2900</v>
      </c>
      <c r="H797" s="25">
        <v>43.5</v>
      </c>
      <c r="I797" s="17">
        <v>320</v>
      </c>
      <c r="J797" s="7">
        <v>110</v>
      </c>
      <c r="K797" s="7">
        <v>300</v>
      </c>
      <c r="L797" s="7">
        <v>1.85</v>
      </c>
      <c r="M797" s="7">
        <f>(International_Education_Costs!$G797+International_Education_Costs!$I797+International_Education_Costs!$J797+International_Education_Costs!$K797)*International_Education_Costs!$L797</f>
        <v>6715.5</v>
      </c>
      <c r="N797" s="7">
        <f>International_Education_Costs!$G797+International_Education_Costs!$I797+International_Education_Costs!$J797+International_Education_Costs!$K797</f>
        <v>3630</v>
      </c>
    </row>
    <row r="798" spans="1:14" x14ac:dyDescent="0.3">
      <c r="A798" s="4" t="s">
        <v>1153</v>
      </c>
      <c r="B798" s="4" t="s">
        <v>1203</v>
      </c>
      <c r="C798" s="4" t="s">
        <v>1204</v>
      </c>
      <c r="D798" s="4" t="s">
        <v>242</v>
      </c>
      <c r="E798" s="4" t="s">
        <v>122</v>
      </c>
      <c r="F798" s="4">
        <v>4</v>
      </c>
      <c r="G798" s="5">
        <v>3800</v>
      </c>
      <c r="H798" s="24">
        <v>36.799999999999997</v>
      </c>
      <c r="I798" s="16">
        <v>200</v>
      </c>
      <c r="J798" s="5">
        <v>120</v>
      </c>
      <c r="K798" s="5">
        <v>250</v>
      </c>
      <c r="L798" s="5">
        <v>12</v>
      </c>
      <c r="M798" s="5">
        <f>(International_Education_Costs!$G798+International_Education_Costs!$I798+International_Education_Costs!$J798+International_Education_Costs!$K798)*International_Education_Costs!$L798</f>
        <v>52440</v>
      </c>
      <c r="N798" s="5">
        <f>International_Education_Costs!$G798+International_Education_Costs!$I798+International_Education_Costs!$J798+International_Education_Costs!$K798</f>
        <v>4370</v>
      </c>
    </row>
    <row r="799" spans="1:14" x14ac:dyDescent="0.3">
      <c r="A799" s="6" t="s">
        <v>1156</v>
      </c>
      <c r="B799" s="6" t="s">
        <v>1205</v>
      </c>
      <c r="C799" s="6" t="s">
        <v>1206</v>
      </c>
      <c r="D799" s="6" t="s">
        <v>63</v>
      </c>
      <c r="E799" s="6" t="s">
        <v>16</v>
      </c>
      <c r="F799" s="6">
        <v>2</v>
      </c>
      <c r="G799" s="7">
        <v>1000</v>
      </c>
      <c r="H799" s="25">
        <v>34.5</v>
      </c>
      <c r="I799" s="17">
        <v>180</v>
      </c>
      <c r="J799" s="7">
        <v>80</v>
      </c>
      <c r="K799" s="7">
        <v>200</v>
      </c>
      <c r="L799" s="7">
        <v>137.5</v>
      </c>
      <c r="M799" s="7">
        <f>(International_Education_Costs!$G799+International_Education_Costs!$I799+International_Education_Costs!$J799+International_Education_Costs!$K799)*International_Education_Costs!$L799</f>
        <v>200750</v>
      </c>
      <c r="N799" s="7">
        <f>International_Education_Costs!$G799+International_Education_Costs!$I799+International_Education_Costs!$J799+International_Education_Costs!$K799</f>
        <v>1460</v>
      </c>
    </row>
    <row r="800" spans="1:14" x14ac:dyDescent="0.3">
      <c r="A800" s="4" t="s">
        <v>1159</v>
      </c>
      <c r="B800" s="4" t="s">
        <v>1207</v>
      </c>
      <c r="C800" s="4" t="s">
        <v>1208</v>
      </c>
      <c r="D800" s="4" t="s">
        <v>71</v>
      </c>
      <c r="E800" s="4" t="s">
        <v>75</v>
      </c>
      <c r="F800" s="4">
        <v>3</v>
      </c>
      <c r="G800" s="5">
        <v>6200</v>
      </c>
      <c r="H800" s="24">
        <v>44.2</v>
      </c>
      <c r="I800" s="16">
        <v>380</v>
      </c>
      <c r="J800" s="5">
        <v>100</v>
      </c>
      <c r="K800" s="5">
        <v>400</v>
      </c>
      <c r="L800" s="5">
        <v>1</v>
      </c>
      <c r="M800" s="5">
        <f>(International_Education_Costs!$G800+International_Education_Costs!$I800+International_Education_Costs!$J800+International_Education_Costs!$K800)*International_Education_Costs!$L800</f>
        <v>7080</v>
      </c>
      <c r="N800" s="5">
        <f>International_Education_Costs!$G800+International_Education_Costs!$I800+International_Education_Costs!$J800+International_Education_Costs!$K800</f>
        <v>7080</v>
      </c>
    </row>
    <row r="801" spans="1:14" x14ac:dyDescent="0.3">
      <c r="A801" s="6" t="s">
        <v>1138</v>
      </c>
      <c r="B801" s="6" t="s">
        <v>1209</v>
      </c>
      <c r="C801" s="6" t="s">
        <v>1210</v>
      </c>
      <c r="D801" s="6" t="s">
        <v>223</v>
      </c>
      <c r="E801" s="6" t="s">
        <v>122</v>
      </c>
      <c r="F801" s="6">
        <v>4</v>
      </c>
      <c r="G801" s="7">
        <v>6500</v>
      </c>
      <c r="H801" s="25">
        <v>40.5</v>
      </c>
      <c r="I801" s="17">
        <v>280</v>
      </c>
      <c r="J801" s="7">
        <v>100</v>
      </c>
      <c r="K801" s="7">
        <v>300</v>
      </c>
      <c r="L801" s="7">
        <v>1</v>
      </c>
      <c r="M801" s="7">
        <f>(International_Education_Costs!$G801+International_Education_Costs!$I801+International_Education_Costs!$J801+International_Education_Costs!$K801)*International_Education_Costs!$L801</f>
        <v>7180</v>
      </c>
      <c r="N801" s="7">
        <f>International_Education_Costs!$G801+International_Education_Costs!$I801+International_Education_Costs!$J801+International_Education_Costs!$K801</f>
        <v>7180</v>
      </c>
    </row>
    <row r="802" spans="1:14" x14ac:dyDescent="0.3">
      <c r="A802" s="4" t="s">
        <v>1141</v>
      </c>
      <c r="B802" s="4" t="s">
        <v>1211</v>
      </c>
      <c r="C802" s="4" t="s">
        <v>1212</v>
      </c>
      <c r="D802" s="4" t="s">
        <v>15</v>
      </c>
      <c r="E802" s="4" t="s">
        <v>75</v>
      </c>
      <c r="F802" s="4">
        <v>4</v>
      </c>
      <c r="G802" s="5">
        <v>15000</v>
      </c>
      <c r="H802" s="24">
        <v>51.8</v>
      </c>
      <c r="I802" s="16">
        <v>420</v>
      </c>
      <c r="J802" s="5">
        <v>150</v>
      </c>
      <c r="K802" s="5">
        <v>500</v>
      </c>
      <c r="L802" s="5">
        <v>15000</v>
      </c>
      <c r="M802" s="5">
        <f>(International_Education_Costs!$G802+International_Education_Costs!$I802+International_Education_Costs!$J802+International_Education_Costs!$K802)*International_Education_Costs!$L802</f>
        <v>241050000</v>
      </c>
      <c r="N802" s="5">
        <f>International_Education_Costs!$G802+International_Education_Costs!$I802+International_Education_Costs!$J802+International_Education_Costs!$K802</f>
        <v>16070</v>
      </c>
    </row>
    <row r="803" spans="1:14" x14ac:dyDescent="0.3">
      <c r="A803" s="6" t="s">
        <v>1144</v>
      </c>
      <c r="B803" s="6" t="s">
        <v>1213</v>
      </c>
      <c r="C803" s="6" t="s">
        <v>1214</v>
      </c>
      <c r="D803" s="6" t="s">
        <v>252</v>
      </c>
      <c r="E803" s="6" t="s">
        <v>16</v>
      </c>
      <c r="F803" s="6">
        <v>2</v>
      </c>
      <c r="G803" s="7">
        <v>7500</v>
      </c>
      <c r="H803" s="25">
        <v>61.5</v>
      </c>
      <c r="I803" s="17">
        <v>580</v>
      </c>
      <c r="J803" s="7">
        <v>130</v>
      </c>
      <c r="K803" s="7">
        <v>600</v>
      </c>
      <c r="L803" s="7">
        <v>0.38</v>
      </c>
      <c r="M803" s="7">
        <f>(International_Education_Costs!$G803+International_Education_Costs!$I803+International_Education_Costs!$J803+International_Education_Costs!$K803)*International_Education_Costs!$L803</f>
        <v>3347.8</v>
      </c>
      <c r="N803" s="7">
        <f>International_Education_Costs!$G803+International_Education_Costs!$I803+International_Education_Costs!$J803+International_Education_Costs!$K803</f>
        <v>8810</v>
      </c>
    </row>
    <row r="804" spans="1:14" x14ac:dyDescent="0.3">
      <c r="A804" s="4" t="s">
        <v>1147</v>
      </c>
      <c r="B804" s="4" t="s">
        <v>1215</v>
      </c>
      <c r="C804" s="4" t="s">
        <v>1216</v>
      </c>
      <c r="D804" s="4" t="s">
        <v>208</v>
      </c>
      <c r="E804" s="4" t="s">
        <v>16</v>
      </c>
      <c r="F804" s="4">
        <v>2</v>
      </c>
      <c r="G804" s="5">
        <v>0</v>
      </c>
      <c r="H804" s="24">
        <v>46.5</v>
      </c>
      <c r="I804" s="16">
        <v>330</v>
      </c>
      <c r="J804" s="5">
        <v>90</v>
      </c>
      <c r="K804" s="5">
        <v>350</v>
      </c>
      <c r="L804" s="5">
        <v>39.5</v>
      </c>
      <c r="M804" s="5">
        <f>(International_Education_Costs!$G804+International_Education_Costs!$I804+International_Education_Costs!$J804+International_Education_Costs!$K804)*International_Education_Costs!$L804</f>
        <v>30415</v>
      </c>
      <c r="N804" s="5">
        <f>International_Education_Costs!$G804+International_Education_Costs!$I804+International_Education_Costs!$J804+International_Education_Costs!$K804</f>
        <v>770</v>
      </c>
    </row>
    <row r="805" spans="1:14" x14ac:dyDescent="0.3">
      <c r="A805" s="6" t="s">
        <v>1150</v>
      </c>
      <c r="B805" s="6" t="s">
        <v>1217</v>
      </c>
      <c r="C805" s="6" t="s">
        <v>1218</v>
      </c>
      <c r="D805" s="6" t="s">
        <v>40</v>
      </c>
      <c r="E805" s="6" t="s">
        <v>122</v>
      </c>
      <c r="F805" s="6">
        <v>4</v>
      </c>
      <c r="G805" s="7">
        <v>3300</v>
      </c>
      <c r="H805" s="25">
        <v>42.8</v>
      </c>
      <c r="I805" s="17">
        <v>300</v>
      </c>
      <c r="J805" s="7">
        <v>110</v>
      </c>
      <c r="K805" s="7">
        <v>300</v>
      </c>
      <c r="L805" s="7">
        <v>1.85</v>
      </c>
      <c r="M805" s="7">
        <f>(International_Education_Costs!$G805+International_Education_Costs!$I805+International_Education_Costs!$J805+International_Education_Costs!$K805)*International_Education_Costs!$L805</f>
        <v>7418.5</v>
      </c>
      <c r="N805" s="7">
        <f>International_Education_Costs!$G805+International_Education_Costs!$I805+International_Education_Costs!$J805+International_Education_Costs!$K805</f>
        <v>4010</v>
      </c>
    </row>
    <row r="806" spans="1:14" x14ac:dyDescent="0.3">
      <c r="A806" s="4" t="s">
        <v>1153</v>
      </c>
      <c r="B806" s="4" t="s">
        <v>1219</v>
      </c>
      <c r="C806" s="4" t="s">
        <v>1220</v>
      </c>
      <c r="D806" s="4" t="s">
        <v>20</v>
      </c>
      <c r="E806" s="4" t="s">
        <v>16</v>
      </c>
      <c r="F806" s="4">
        <v>2</v>
      </c>
      <c r="G806" s="5">
        <v>3500</v>
      </c>
      <c r="H806" s="24">
        <v>35.4</v>
      </c>
      <c r="I806" s="16">
        <v>180</v>
      </c>
      <c r="J806" s="5">
        <v>120</v>
      </c>
      <c r="K806" s="5">
        <v>250</v>
      </c>
      <c r="L806" s="5">
        <v>12</v>
      </c>
      <c r="M806" s="5">
        <f>(International_Education_Costs!$G806+International_Education_Costs!$I806+International_Education_Costs!$J806+International_Education_Costs!$K806)*International_Education_Costs!$L806</f>
        <v>48600</v>
      </c>
      <c r="N806" s="5">
        <f>International_Education_Costs!$G806+International_Education_Costs!$I806+International_Education_Costs!$J806+International_Education_Costs!$K806</f>
        <v>4050</v>
      </c>
    </row>
    <row r="807" spans="1:14" x14ac:dyDescent="0.3">
      <c r="A807" s="6" t="s">
        <v>1156</v>
      </c>
      <c r="B807" s="6" t="s">
        <v>1221</v>
      </c>
      <c r="C807" s="6" t="s">
        <v>1222</v>
      </c>
      <c r="D807" s="6" t="s">
        <v>216</v>
      </c>
      <c r="E807" s="6" t="s">
        <v>75</v>
      </c>
      <c r="F807" s="6">
        <v>3</v>
      </c>
      <c r="G807" s="7">
        <v>900</v>
      </c>
      <c r="H807" s="25">
        <v>33.200000000000003</v>
      </c>
      <c r="I807" s="17">
        <v>160</v>
      </c>
      <c r="J807" s="7">
        <v>80</v>
      </c>
      <c r="K807" s="7">
        <v>200</v>
      </c>
      <c r="L807" s="7">
        <v>137.5</v>
      </c>
      <c r="M807" s="7">
        <f>(International_Education_Costs!$G807+International_Education_Costs!$I807+International_Education_Costs!$J807+International_Education_Costs!$K807)*International_Education_Costs!$L807</f>
        <v>184250</v>
      </c>
      <c r="N807" s="7">
        <f>International_Education_Costs!$G807+International_Education_Costs!$I807+International_Education_Costs!$J807+International_Education_Costs!$K807</f>
        <v>1340</v>
      </c>
    </row>
    <row r="808" spans="1:14" x14ac:dyDescent="0.3">
      <c r="A808" s="4" t="s">
        <v>1159</v>
      </c>
      <c r="B808" s="4" t="s">
        <v>1223</v>
      </c>
      <c r="C808" s="4" t="s">
        <v>1224</v>
      </c>
      <c r="D808" s="4" t="s">
        <v>15</v>
      </c>
      <c r="E808" s="4" t="s">
        <v>16</v>
      </c>
      <c r="F808" s="4">
        <v>2</v>
      </c>
      <c r="G808" s="5">
        <v>6000</v>
      </c>
      <c r="H808" s="24">
        <v>43.5</v>
      </c>
      <c r="I808" s="16">
        <v>350</v>
      </c>
      <c r="J808" s="5">
        <v>100</v>
      </c>
      <c r="K808" s="5">
        <v>400</v>
      </c>
      <c r="L808" s="5">
        <v>1</v>
      </c>
      <c r="M808" s="5">
        <f>(International_Education_Costs!$G808+International_Education_Costs!$I808+International_Education_Costs!$J808+International_Education_Costs!$K808)*International_Education_Costs!$L808</f>
        <v>6850</v>
      </c>
      <c r="N808" s="5">
        <f>International_Education_Costs!$G808+International_Education_Costs!$I808+International_Education_Costs!$J808+International_Education_Costs!$K808</f>
        <v>6850</v>
      </c>
    </row>
    <row r="809" spans="1:14" x14ac:dyDescent="0.3">
      <c r="A809" s="6" t="s">
        <v>1225</v>
      </c>
      <c r="B809" s="6" t="s">
        <v>1226</v>
      </c>
      <c r="C809" s="6" t="s">
        <v>1227</v>
      </c>
      <c r="D809" s="6" t="s">
        <v>15</v>
      </c>
      <c r="E809" s="6" t="s">
        <v>16</v>
      </c>
      <c r="F809" s="6">
        <v>2</v>
      </c>
      <c r="G809" s="7">
        <v>2500</v>
      </c>
      <c r="H809" s="25">
        <v>42.5</v>
      </c>
      <c r="I809" s="17">
        <v>250</v>
      </c>
      <c r="J809" s="7">
        <v>100</v>
      </c>
      <c r="K809" s="7">
        <v>200</v>
      </c>
      <c r="L809" s="7">
        <v>109.5</v>
      </c>
      <c r="M809" s="7">
        <f>(International_Education_Costs!$G809+International_Education_Costs!$I809+International_Education_Costs!$J809+International_Education_Costs!$K809)*International_Education_Costs!$L809</f>
        <v>333975</v>
      </c>
      <c r="N809" s="7">
        <f>International_Education_Costs!$G809+International_Education_Costs!$I809+International_Education_Costs!$J809+International_Education_Costs!$K809</f>
        <v>3050</v>
      </c>
    </row>
    <row r="810" spans="1:14" x14ac:dyDescent="0.3">
      <c r="A810" s="4" t="s">
        <v>1228</v>
      </c>
      <c r="B810" s="4" t="s">
        <v>1229</v>
      </c>
      <c r="C810" s="4" t="s">
        <v>1230</v>
      </c>
      <c r="D810" s="4" t="s">
        <v>20</v>
      </c>
      <c r="E810" s="4" t="s">
        <v>16</v>
      </c>
      <c r="F810" s="4">
        <v>2</v>
      </c>
      <c r="G810" s="5">
        <v>3500</v>
      </c>
      <c r="H810" s="24">
        <v>71.2</v>
      </c>
      <c r="I810" s="16">
        <v>800</v>
      </c>
      <c r="J810" s="5">
        <v>140</v>
      </c>
      <c r="K810" s="5">
        <v>700</v>
      </c>
      <c r="L810" s="5">
        <v>0.31</v>
      </c>
      <c r="M810" s="5">
        <f>(International_Education_Costs!$G810+International_Education_Costs!$I810+International_Education_Costs!$J810+International_Education_Costs!$K810)*International_Education_Costs!$L810</f>
        <v>1593.4</v>
      </c>
      <c r="N810" s="5">
        <f>International_Education_Costs!$G810+International_Education_Costs!$I810+International_Education_Costs!$J810+International_Education_Costs!$K810</f>
        <v>5140</v>
      </c>
    </row>
    <row r="811" spans="1:14" x14ac:dyDescent="0.3">
      <c r="A811" s="6" t="s">
        <v>1231</v>
      </c>
      <c r="B811" s="6" t="s">
        <v>1232</v>
      </c>
      <c r="C811" s="6" t="s">
        <v>1233</v>
      </c>
      <c r="D811" s="6" t="s">
        <v>208</v>
      </c>
      <c r="E811" s="6" t="s">
        <v>75</v>
      </c>
      <c r="F811" s="6">
        <v>4</v>
      </c>
      <c r="G811" s="7">
        <v>3800</v>
      </c>
      <c r="H811" s="25">
        <v>45.8</v>
      </c>
      <c r="I811" s="17">
        <v>400</v>
      </c>
      <c r="J811" s="7">
        <v>120</v>
      </c>
      <c r="K811" s="7">
        <v>300</v>
      </c>
      <c r="L811" s="7">
        <v>36.799999999999997</v>
      </c>
      <c r="M811" s="7">
        <f>(International_Education_Costs!$G811+International_Education_Costs!$I811+International_Education_Costs!$J811+International_Education_Costs!$K811)*International_Education_Costs!$L811</f>
        <v>170016</v>
      </c>
      <c r="N811" s="7">
        <f>International_Education_Costs!$G811+International_Education_Costs!$I811+International_Education_Costs!$J811+International_Education_Costs!$K811</f>
        <v>4620</v>
      </c>
    </row>
    <row r="812" spans="1:14" x14ac:dyDescent="0.3">
      <c r="A812" s="4" t="s">
        <v>1234</v>
      </c>
      <c r="B812" s="4" t="s">
        <v>1235</v>
      </c>
      <c r="C812" s="4" t="s">
        <v>1236</v>
      </c>
      <c r="D812" s="4" t="s">
        <v>63</v>
      </c>
      <c r="E812" s="4" t="s">
        <v>122</v>
      </c>
      <c r="F812" s="4">
        <v>4</v>
      </c>
      <c r="G812" s="5">
        <v>4500</v>
      </c>
      <c r="H812" s="24">
        <v>62.4</v>
      </c>
      <c r="I812" s="16">
        <v>500</v>
      </c>
      <c r="J812" s="5">
        <v>80</v>
      </c>
      <c r="K812" s="5">
        <v>450</v>
      </c>
      <c r="L812" s="5">
        <v>0.92</v>
      </c>
      <c r="M812" s="5">
        <f>(International_Education_Costs!$G812+International_Education_Costs!$I812+International_Education_Costs!$J812+International_Education_Costs!$K812)*International_Education_Costs!$L812</f>
        <v>5087.6000000000004</v>
      </c>
      <c r="N812" s="5">
        <f>International_Education_Costs!$G812+International_Education_Costs!$I812+International_Education_Costs!$J812+International_Education_Costs!$K812</f>
        <v>5530</v>
      </c>
    </row>
    <row r="813" spans="1:14" x14ac:dyDescent="0.3">
      <c r="A813" s="6" t="s">
        <v>1237</v>
      </c>
      <c r="B813" s="6" t="s">
        <v>1238</v>
      </c>
      <c r="C813" s="6" t="s">
        <v>1239</v>
      </c>
      <c r="D813" s="6" t="s">
        <v>216</v>
      </c>
      <c r="E813" s="6" t="s">
        <v>16</v>
      </c>
      <c r="F813" s="6">
        <v>2</v>
      </c>
      <c r="G813" s="7">
        <v>2800</v>
      </c>
      <c r="H813" s="25">
        <v>48.5</v>
      </c>
      <c r="I813" s="17">
        <v>350</v>
      </c>
      <c r="J813" s="7">
        <v>90</v>
      </c>
      <c r="K813" s="7">
        <v>320</v>
      </c>
      <c r="L813" s="7">
        <v>108.5</v>
      </c>
      <c r="M813" s="7">
        <f>(International_Education_Costs!$G813+International_Education_Costs!$I813+International_Education_Costs!$J813+International_Education_Costs!$K813)*International_Education_Costs!$L813</f>
        <v>386260</v>
      </c>
      <c r="N813" s="7">
        <f>International_Education_Costs!$G813+International_Education_Costs!$I813+International_Education_Costs!$J813+International_Education_Costs!$K813</f>
        <v>3560</v>
      </c>
    </row>
    <row r="814" spans="1:14" x14ac:dyDescent="0.3">
      <c r="A814" s="4" t="s">
        <v>1240</v>
      </c>
      <c r="B814" s="4" t="s">
        <v>1241</v>
      </c>
      <c r="C814" s="4" t="s">
        <v>1242</v>
      </c>
      <c r="D814" s="4" t="s">
        <v>71</v>
      </c>
      <c r="E814" s="4" t="s">
        <v>16</v>
      </c>
      <c r="F814" s="4">
        <v>2</v>
      </c>
      <c r="G814" s="5">
        <v>3000</v>
      </c>
      <c r="H814" s="24">
        <v>51.2</v>
      </c>
      <c r="I814" s="16">
        <v>400</v>
      </c>
      <c r="J814" s="5">
        <v>150</v>
      </c>
      <c r="K814" s="5">
        <v>280</v>
      </c>
      <c r="L814" s="5">
        <v>42150</v>
      </c>
      <c r="M814" s="5">
        <f>(International_Education_Costs!$G814+International_Education_Costs!$I814+International_Education_Costs!$J814+International_Education_Costs!$K814)*International_Education_Costs!$L814</f>
        <v>161434500</v>
      </c>
      <c r="N814" s="5">
        <f>International_Education_Costs!$G814+International_Education_Costs!$I814+International_Education_Costs!$J814+International_Education_Costs!$K814</f>
        <v>3830</v>
      </c>
    </row>
    <row r="815" spans="1:14" x14ac:dyDescent="0.3">
      <c r="A815" s="6" t="s">
        <v>1243</v>
      </c>
      <c r="B815" s="6" t="s">
        <v>1244</v>
      </c>
      <c r="C815" s="6" t="s">
        <v>1245</v>
      </c>
      <c r="D815" s="6" t="s">
        <v>15</v>
      </c>
      <c r="E815" s="6" t="s">
        <v>75</v>
      </c>
      <c r="F815" s="6">
        <v>4</v>
      </c>
      <c r="G815" s="7">
        <v>4200</v>
      </c>
      <c r="H815" s="25">
        <v>44.5</v>
      </c>
      <c r="I815" s="17">
        <v>300</v>
      </c>
      <c r="J815" s="7">
        <v>160</v>
      </c>
      <c r="K815" s="7">
        <v>250</v>
      </c>
      <c r="L815" s="7">
        <v>12300</v>
      </c>
      <c r="M815" s="7">
        <f>(International_Education_Costs!$G815+International_Education_Costs!$I815+International_Education_Costs!$J815+International_Education_Costs!$K815)*International_Education_Costs!$L815</f>
        <v>60393000</v>
      </c>
      <c r="N815" s="7">
        <f>International_Education_Costs!$G815+International_Education_Costs!$I815+International_Education_Costs!$J815+International_Education_Costs!$K815</f>
        <v>4910</v>
      </c>
    </row>
    <row r="816" spans="1:14" x14ac:dyDescent="0.3">
      <c r="A816" s="4" t="s">
        <v>1246</v>
      </c>
      <c r="B816" s="4" t="s">
        <v>1247</v>
      </c>
      <c r="C816" s="4" t="s">
        <v>1248</v>
      </c>
      <c r="D816" s="4" t="s">
        <v>242</v>
      </c>
      <c r="E816" s="4" t="s">
        <v>16</v>
      </c>
      <c r="F816" s="4">
        <v>2</v>
      </c>
      <c r="G816" s="5">
        <v>5500</v>
      </c>
      <c r="H816" s="24">
        <v>46.8</v>
      </c>
      <c r="I816" s="16">
        <v>400</v>
      </c>
      <c r="J816" s="5">
        <v>110</v>
      </c>
      <c r="K816" s="5">
        <v>300</v>
      </c>
      <c r="L816" s="5">
        <v>1</v>
      </c>
      <c r="M816" s="5">
        <f>(International_Education_Costs!$G816+International_Education_Costs!$I816+International_Education_Costs!$J816+International_Education_Costs!$K816)*International_Education_Costs!$L816</f>
        <v>6310</v>
      </c>
      <c r="N816" s="5">
        <f>International_Education_Costs!$G816+International_Education_Costs!$I816+International_Education_Costs!$J816+International_Education_Costs!$K816</f>
        <v>6310</v>
      </c>
    </row>
    <row r="817" spans="1:14" x14ac:dyDescent="0.3">
      <c r="A817" s="6" t="s">
        <v>1225</v>
      </c>
      <c r="B817" s="6" t="s">
        <v>1249</v>
      </c>
      <c r="C817" s="6" t="s">
        <v>1250</v>
      </c>
      <c r="D817" s="6" t="s">
        <v>40</v>
      </c>
      <c r="E817" s="6" t="s">
        <v>122</v>
      </c>
      <c r="F817" s="6">
        <v>4</v>
      </c>
      <c r="G817" s="7">
        <v>2200</v>
      </c>
      <c r="H817" s="25">
        <v>39.799999999999997</v>
      </c>
      <c r="I817" s="17">
        <v>200</v>
      </c>
      <c r="J817" s="7">
        <v>100</v>
      </c>
      <c r="K817" s="7">
        <v>200</v>
      </c>
      <c r="L817" s="7">
        <v>109.5</v>
      </c>
      <c r="M817" s="7">
        <f>(International_Education_Costs!$G817+International_Education_Costs!$I817+International_Education_Costs!$J817+International_Education_Costs!$K817)*International_Education_Costs!$L817</f>
        <v>295650</v>
      </c>
      <c r="N817" s="7">
        <f>International_Education_Costs!$G817+International_Education_Costs!$I817+International_Education_Costs!$J817+International_Education_Costs!$K817</f>
        <v>2700</v>
      </c>
    </row>
    <row r="818" spans="1:14" x14ac:dyDescent="0.3">
      <c r="A818" s="4" t="s">
        <v>1228</v>
      </c>
      <c r="B818" s="4" t="s">
        <v>1251</v>
      </c>
      <c r="C818" s="4" t="s">
        <v>1252</v>
      </c>
      <c r="D818" s="4" t="s">
        <v>252</v>
      </c>
      <c r="E818" s="4" t="s">
        <v>16</v>
      </c>
      <c r="F818" s="4">
        <v>2</v>
      </c>
      <c r="G818" s="5">
        <v>15000</v>
      </c>
      <c r="H818" s="24">
        <v>68.5</v>
      </c>
      <c r="I818" s="16">
        <v>750</v>
      </c>
      <c r="J818" s="5">
        <v>140</v>
      </c>
      <c r="K818" s="5">
        <v>700</v>
      </c>
      <c r="L818" s="5">
        <v>0.31</v>
      </c>
      <c r="M818" s="5">
        <f>(International_Education_Costs!$G818+International_Education_Costs!$I818+International_Education_Costs!$J818+International_Education_Costs!$K818)*International_Education_Costs!$L818</f>
        <v>5142.8999999999996</v>
      </c>
      <c r="N818" s="5">
        <f>International_Education_Costs!$G818+International_Education_Costs!$I818+International_Education_Costs!$J818+International_Education_Costs!$K818</f>
        <v>16590</v>
      </c>
    </row>
    <row r="819" spans="1:14" x14ac:dyDescent="0.3">
      <c r="A819" s="6" t="s">
        <v>1231</v>
      </c>
      <c r="B819" s="6" t="s">
        <v>1253</v>
      </c>
      <c r="C819" s="6" t="s">
        <v>1254</v>
      </c>
      <c r="D819" s="6" t="s">
        <v>15</v>
      </c>
      <c r="E819" s="6" t="s">
        <v>16</v>
      </c>
      <c r="F819" s="6">
        <v>2</v>
      </c>
      <c r="G819" s="7">
        <v>3500</v>
      </c>
      <c r="H819" s="25">
        <v>43.2</v>
      </c>
      <c r="I819" s="17">
        <v>350</v>
      </c>
      <c r="J819" s="7">
        <v>120</v>
      </c>
      <c r="K819" s="7">
        <v>300</v>
      </c>
      <c r="L819" s="7">
        <v>36.799999999999997</v>
      </c>
      <c r="M819" s="7">
        <f>(International_Education_Costs!$G819+International_Education_Costs!$I819+International_Education_Costs!$J819+International_Education_Costs!$K819)*International_Education_Costs!$L819</f>
        <v>157136</v>
      </c>
      <c r="N819" s="7">
        <f>International_Education_Costs!$G819+International_Education_Costs!$I819+International_Education_Costs!$J819+International_Education_Costs!$K819</f>
        <v>4270</v>
      </c>
    </row>
    <row r="820" spans="1:14" x14ac:dyDescent="0.3">
      <c r="A820" s="4" t="s">
        <v>1234</v>
      </c>
      <c r="B820" s="4" t="s">
        <v>1255</v>
      </c>
      <c r="C820" s="4" t="s">
        <v>1256</v>
      </c>
      <c r="D820" s="4" t="s">
        <v>20</v>
      </c>
      <c r="E820" s="4" t="s">
        <v>16</v>
      </c>
      <c r="F820" s="4">
        <v>2</v>
      </c>
      <c r="G820" s="5">
        <v>4200</v>
      </c>
      <c r="H820" s="24">
        <v>58.5</v>
      </c>
      <c r="I820" s="16">
        <v>450</v>
      </c>
      <c r="J820" s="5">
        <v>80</v>
      </c>
      <c r="K820" s="5">
        <v>450</v>
      </c>
      <c r="L820" s="5">
        <v>0.92</v>
      </c>
      <c r="M820" s="5">
        <f>(International_Education_Costs!$G820+International_Education_Costs!$I820+International_Education_Costs!$J820+International_Education_Costs!$K820)*International_Education_Costs!$L820</f>
        <v>4765.6000000000004</v>
      </c>
      <c r="N820" s="5">
        <f>International_Education_Costs!$G820+International_Education_Costs!$I820+International_Education_Costs!$J820+International_Education_Costs!$K820</f>
        <v>5180</v>
      </c>
    </row>
    <row r="821" spans="1:14" x14ac:dyDescent="0.3">
      <c r="A821" s="6" t="s">
        <v>1237</v>
      </c>
      <c r="B821" s="6" t="s">
        <v>1257</v>
      </c>
      <c r="C821" s="6" t="s">
        <v>1258</v>
      </c>
      <c r="D821" s="6" t="s">
        <v>208</v>
      </c>
      <c r="E821" s="6" t="s">
        <v>122</v>
      </c>
      <c r="F821" s="6">
        <v>4</v>
      </c>
      <c r="G821" s="7">
        <v>2600</v>
      </c>
      <c r="H821" s="25">
        <v>45.8</v>
      </c>
      <c r="I821" s="17">
        <v>320</v>
      </c>
      <c r="J821" s="7">
        <v>90</v>
      </c>
      <c r="K821" s="7">
        <v>320</v>
      </c>
      <c r="L821" s="7">
        <v>108.5</v>
      </c>
      <c r="M821" s="7">
        <f>(International_Education_Costs!$G821+International_Education_Costs!$I821+International_Education_Costs!$J821+International_Education_Costs!$K821)*International_Education_Costs!$L821</f>
        <v>361305</v>
      </c>
      <c r="N821" s="7">
        <f>International_Education_Costs!$G821+International_Education_Costs!$I821+International_Education_Costs!$J821+International_Education_Costs!$K821</f>
        <v>3330</v>
      </c>
    </row>
    <row r="822" spans="1:14" x14ac:dyDescent="0.3">
      <c r="A822" s="4" t="s">
        <v>1240</v>
      </c>
      <c r="B822" s="4" t="s">
        <v>1259</v>
      </c>
      <c r="C822" s="4" t="s">
        <v>1260</v>
      </c>
      <c r="D822" s="4" t="s">
        <v>216</v>
      </c>
      <c r="E822" s="4" t="s">
        <v>75</v>
      </c>
      <c r="F822" s="4">
        <v>3</v>
      </c>
      <c r="G822" s="5">
        <v>2800</v>
      </c>
      <c r="H822" s="24">
        <v>48.5</v>
      </c>
      <c r="I822" s="16">
        <v>350</v>
      </c>
      <c r="J822" s="5">
        <v>150</v>
      </c>
      <c r="K822" s="5">
        <v>280</v>
      </c>
      <c r="L822" s="5">
        <v>42150</v>
      </c>
      <c r="M822" s="5">
        <f>(International_Education_Costs!$G822+International_Education_Costs!$I822+International_Education_Costs!$J822+International_Education_Costs!$K822)*International_Education_Costs!$L822</f>
        <v>150897000</v>
      </c>
      <c r="N822" s="5">
        <f>International_Education_Costs!$G822+International_Education_Costs!$I822+International_Education_Costs!$J822+International_Education_Costs!$K822</f>
        <v>3580</v>
      </c>
    </row>
    <row r="823" spans="1:14" x14ac:dyDescent="0.3">
      <c r="A823" s="6" t="s">
        <v>1243</v>
      </c>
      <c r="B823" s="6" t="s">
        <v>1261</v>
      </c>
      <c r="C823" s="6" t="s">
        <v>1262</v>
      </c>
      <c r="D823" s="6" t="s">
        <v>71</v>
      </c>
      <c r="E823" s="6" t="s">
        <v>16</v>
      </c>
      <c r="F823" s="6">
        <v>2</v>
      </c>
      <c r="G823" s="7">
        <v>3800</v>
      </c>
      <c r="H823" s="25">
        <v>41.2</v>
      </c>
      <c r="I823" s="17">
        <v>250</v>
      </c>
      <c r="J823" s="7">
        <v>160</v>
      </c>
      <c r="K823" s="7">
        <v>250</v>
      </c>
      <c r="L823" s="7">
        <v>12300</v>
      </c>
      <c r="M823" s="7">
        <f>(International_Education_Costs!$G823+International_Education_Costs!$I823+International_Education_Costs!$J823+International_Education_Costs!$K823)*International_Education_Costs!$L823</f>
        <v>54858000</v>
      </c>
      <c r="N823" s="7">
        <f>International_Education_Costs!$G823+International_Education_Costs!$I823+International_Education_Costs!$J823+International_Education_Costs!$K823</f>
        <v>4460</v>
      </c>
    </row>
    <row r="824" spans="1:14" x14ac:dyDescent="0.3">
      <c r="A824" s="4" t="s">
        <v>1246</v>
      </c>
      <c r="B824" s="4" t="s">
        <v>1263</v>
      </c>
      <c r="C824" s="4" t="s">
        <v>1185</v>
      </c>
      <c r="D824" s="4" t="s">
        <v>63</v>
      </c>
      <c r="E824" s="4" t="s">
        <v>75</v>
      </c>
      <c r="F824" s="4">
        <v>4</v>
      </c>
      <c r="G824" s="5">
        <v>5000</v>
      </c>
      <c r="H824" s="24">
        <v>44.5</v>
      </c>
      <c r="I824" s="16">
        <v>350</v>
      </c>
      <c r="J824" s="5">
        <v>110</v>
      </c>
      <c r="K824" s="5">
        <v>300</v>
      </c>
      <c r="L824" s="5">
        <v>1</v>
      </c>
      <c r="M824" s="5">
        <f>(International_Education_Costs!$G824+International_Education_Costs!$I824+International_Education_Costs!$J824+International_Education_Costs!$K824)*International_Education_Costs!$L824</f>
        <v>5760</v>
      </c>
      <c r="N824" s="5">
        <f>International_Education_Costs!$G824+International_Education_Costs!$I824+International_Education_Costs!$J824+International_Education_Costs!$K824</f>
        <v>5760</v>
      </c>
    </row>
    <row r="825" spans="1:14" x14ac:dyDescent="0.3">
      <c r="A825" s="6" t="s">
        <v>1225</v>
      </c>
      <c r="B825" s="6" t="s">
        <v>1264</v>
      </c>
      <c r="C825" s="6" t="s">
        <v>1265</v>
      </c>
      <c r="D825" s="6" t="s">
        <v>242</v>
      </c>
      <c r="E825" s="6" t="s">
        <v>16</v>
      </c>
      <c r="F825" s="6">
        <v>2</v>
      </c>
      <c r="G825" s="7">
        <v>2100</v>
      </c>
      <c r="H825" s="25">
        <v>38.5</v>
      </c>
      <c r="I825" s="17">
        <v>180</v>
      </c>
      <c r="J825" s="7">
        <v>100</v>
      </c>
      <c r="K825" s="7">
        <v>200</v>
      </c>
      <c r="L825" s="7">
        <v>109.5</v>
      </c>
      <c r="M825" s="7">
        <f>(International_Education_Costs!$G825+International_Education_Costs!$I825+International_Education_Costs!$J825+International_Education_Costs!$K825)*International_Education_Costs!$L825</f>
        <v>282510</v>
      </c>
      <c r="N825" s="7">
        <f>International_Education_Costs!$G825+International_Education_Costs!$I825+International_Education_Costs!$J825+International_Education_Costs!$K825</f>
        <v>2580</v>
      </c>
    </row>
    <row r="826" spans="1:14" x14ac:dyDescent="0.3">
      <c r="A826" s="4" t="s">
        <v>1228</v>
      </c>
      <c r="B826" s="4" t="s">
        <v>1266</v>
      </c>
      <c r="C826" s="4" t="s">
        <v>1267</v>
      </c>
      <c r="D826" s="4" t="s">
        <v>40</v>
      </c>
      <c r="E826" s="4" t="s">
        <v>122</v>
      </c>
      <c r="F826" s="4">
        <v>4</v>
      </c>
      <c r="G826" s="5">
        <v>14000</v>
      </c>
      <c r="H826" s="24">
        <v>66.8</v>
      </c>
      <c r="I826" s="16">
        <v>700</v>
      </c>
      <c r="J826" s="5">
        <v>140</v>
      </c>
      <c r="K826" s="5">
        <v>700</v>
      </c>
      <c r="L826" s="5">
        <v>0.31</v>
      </c>
      <c r="M826" s="5">
        <f>(International_Education_Costs!$G826+International_Education_Costs!$I826+International_Education_Costs!$J826+International_Education_Costs!$K826)*International_Education_Costs!$L826</f>
        <v>4817.3999999999996</v>
      </c>
      <c r="N826" s="5">
        <f>International_Education_Costs!$G826+International_Education_Costs!$I826+International_Education_Costs!$J826+International_Education_Costs!$K826</f>
        <v>15540</v>
      </c>
    </row>
    <row r="827" spans="1:14" x14ac:dyDescent="0.3">
      <c r="A827" s="6" t="s">
        <v>1231</v>
      </c>
      <c r="B827" s="6" t="s">
        <v>1268</v>
      </c>
      <c r="C827" s="6" t="s">
        <v>1269</v>
      </c>
      <c r="D827" s="6" t="s">
        <v>20</v>
      </c>
      <c r="E827" s="6" t="s">
        <v>16</v>
      </c>
      <c r="F827" s="6">
        <v>2</v>
      </c>
      <c r="G827" s="7">
        <v>3400</v>
      </c>
      <c r="H827" s="25">
        <v>42.5</v>
      </c>
      <c r="I827" s="17">
        <v>330</v>
      </c>
      <c r="J827" s="7">
        <v>120</v>
      </c>
      <c r="K827" s="7">
        <v>300</v>
      </c>
      <c r="L827" s="7">
        <v>36.799999999999997</v>
      </c>
      <c r="M827" s="7">
        <f>(International_Education_Costs!$G827+International_Education_Costs!$I827+International_Education_Costs!$J827+International_Education_Costs!$K827)*International_Education_Costs!$L827</f>
        <v>152720</v>
      </c>
      <c r="N827" s="7">
        <f>International_Education_Costs!$G827+International_Education_Costs!$I827+International_Education_Costs!$J827+International_Education_Costs!$K827</f>
        <v>4150</v>
      </c>
    </row>
    <row r="828" spans="1:14" x14ac:dyDescent="0.3">
      <c r="A828" s="4" t="s">
        <v>1234</v>
      </c>
      <c r="B828" s="4" t="s">
        <v>1270</v>
      </c>
      <c r="C828" s="4" t="s">
        <v>1271</v>
      </c>
      <c r="D828" s="4" t="s">
        <v>223</v>
      </c>
      <c r="E828" s="4" t="s">
        <v>75</v>
      </c>
      <c r="F828" s="4">
        <v>3</v>
      </c>
      <c r="G828" s="5">
        <v>4000</v>
      </c>
      <c r="H828" s="24">
        <v>57.2</v>
      </c>
      <c r="I828" s="16">
        <v>420</v>
      </c>
      <c r="J828" s="5">
        <v>80</v>
      </c>
      <c r="K828" s="5">
        <v>450</v>
      </c>
      <c r="L828" s="5">
        <v>0.92</v>
      </c>
      <c r="M828" s="5">
        <f>(International_Education_Costs!$G828+International_Education_Costs!$I828+International_Education_Costs!$J828+International_Education_Costs!$K828)*International_Education_Costs!$L828</f>
        <v>4554</v>
      </c>
      <c r="N828" s="5">
        <f>International_Education_Costs!$G828+International_Education_Costs!$I828+International_Education_Costs!$J828+International_Education_Costs!$K828</f>
        <v>4950</v>
      </c>
    </row>
    <row r="829" spans="1:14" x14ac:dyDescent="0.3">
      <c r="A829" s="6" t="s">
        <v>1237</v>
      </c>
      <c r="B829" s="6" t="s">
        <v>1272</v>
      </c>
      <c r="C829" s="6" t="s">
        <v>1273</v>
      </c>
      <c r="D829" s="6" t="s">
        <v>63</v>
      </c>
      <c r="E829" s="6" t="s">
        <v>16</v>
      </c>
      <c r="F829" s="6">
        <v>2</v>
      </c>
      <c r="G829" s="7">
        <v>2500</v>
      </c>
      <c r="H829" s="25">
        <v>44.2</v>
      </c>
      <c r="I829" s="17">
        <v>300</v>
      </c>
      <c r="J829" s="7">
        <v>90</v>
      </c>
      <c r="K829" s="7">
        <v>320</v>
      </c>
      <c r="L829" s="7">
        <v>108.5</v>
      </c>
      <c r="M829" s="7">
        <f>(International_Education_Costs!$G829+International_Education_Costs!$I829+International_Education_Costs!$J829+International_Education_Costs!$K829)*International_Education_Costs!$L829</f>
        <v>348285</v>
      </c>
      <c r="N829" s="7">
        <f>International_Education_Costs!$G829+International_Education_Costs!$I829+International_Education_Costs!$J829+International_Education_Costs!$K829</f>
        <v>3210</v>
      </c>
    </row>
    <row r="830" spans="1:14" x14ac:dyDescent="0.3">
      <c r="A830" s="4" t="s">
        <v>1240</v>
      </c>
      <c r="B830" s="4" t="s">
        <v>1274</v>
      </c>
      <c r="C830" s="4" t="s">
        <v>1275</v>
      </c>
      <c r="D830" s="4" t="s">
        <v>71</v>
      </c>
      <c r="E830" s="4" t="s">
        <v>122</v>
      </c>
      <c r="F830" s="4">
        <v>4</v>
      </c>
      <c r="G830" s="5">
        <v>2900</v>
      </c>
      <c r="H830" s="24">
        <v>47.8</v>
      </c>
      <c r="I830" s="16">
        <v>320</v>
      </c>
      <c r="J830" s="5">
        <v>150</v>
      </c>
      <c r="K830" s="5">
        <v>280</v>
      </c>
      <c r="L830" s="5">
        <v>42150</v>
      </c>
      <c r="M830" s="5">
        <f>(International_Education_Costs!$G830+International_Education_Costs!$I830+International_Education_Costs!$J830+International_Education_Costs!$K830)*International_Education_Costs!$L830</f>
        <v>153847500</v>
      </c>
      <c r="N830" s="5">
        <f>International_Education_Costs!$G830+International_Education_Costs!$I830+International_Education_Costs!$J830+International_Education_Costs!$K830</f>
        <v>3650</v>
      </c>
    </row>
    <row r="831" spans="1:14" x14ac:dyDescent="0.3">
      <c r="A831" s="6" t="s">
        <v>1243</v>
      </c>
      <c r="B831" s="6" t="s">
        <v>1276</v>
      </c>
      <c r="C831" s="6" t="s">
        <v>1277</v>
      </c>
      <c r="D831" s="6" t="s">
        <v>15</v>
      </c>
      <c r="E831" s="6" t="s">
        <v>75</v>
      </c>
      <c r="F831" s="6">
        <v>4</v>
      </c>
      <c r="G831" s="7">
        <v>3500</v>
      </c>
      <c r="H831" s="25">
        <v>39.799999999999997</v>
      </c>
      <c r="I831" s="17">
        <v>220</v>
      </c>
      <c r="J831" s="7">
        <v>160</v>
      </c>
      <c r="K831" s="7">
        <v>250</v>
      </c>
      <c r="L831" s="7">
        <v>12300</v>
      </c>
      <c r="M831" s="7">
        <f>(International_Education_Costs!$G831+International_Education_Costs!$I831+International_Education_Costs!$J831+International_Education_Costs!$K831)*International_Education_Costs!$L831</f>
        <v>50799000</v>
      </c>
      <c r="N831" s="7">
        <f>International_Education_Costs!$G831+International_Education_Costs!$I831+International_Education_Costs!$J831+International_Education_Costs!$K831</f>
        <v>4130</v>
      </c>
    </row>
    <row r="832" spans="1:14" x14ac:dyDescent="0.3">
      <c r="A832" s="4" t="s">
        <v>1246</v>
      </c>
      <c r="B832" s="4" t="s">
        <v>1278</v>
      </c>
      <c r="C832" s="4" t="s">
        <v>1279</v>
      </c>
      <c r="D832" s="4" t="s">
        <v>216</v>
      </c>
      <c r="E832" s="4" t="s">
        <v>16</v>
      </c>
      <c r="F832" s="4">
        <v>2</v>
      </c>
      <c r="G832" s="5">
        <v>4800</v>
      </c>
      <c r="H832" s="24">
        <v>43.2</v>
      </c>
      <c r="I832" s="16">
        <v>320</v>
      </c>
      <c r="J832" s="5">
        <v>110</v>
      </c>
      <c r="K832" s="5">
        <v>300</v>
      </c>
      <c r="L832" s="5">
        <v>1</v>
      </c>
      <c r="M832" s="5">
        <f>(International_Education_Costs!$G832+International_Education_Costs!$I832+International_Education_Costs!$J832+International_Education_Costs!$K832)*International_Education_Costs!$L832</f>
        <v>5530</v>
      </c>
      <c r="N832" s="5">
        <f>International_Education_Costs!$G832+International_Education_Costs!$I832+International_Education_Costs!$J832+International_Education_Costs!$K832</f>
        <v>5530</v>
      </c>
    </row>
    <row r="833" spans="1:14" x14ac:dyDescent="0.3">
      <c r="A833" s="6" t="s">
        <v>1225</v>
      </c>
      <c r="B833" s="6" t="s">
        <v>1280</v>
      </c>
      <c r="C833" s="6" t="s">
        <v>1281</v>
      </c>
      <c r="D833" s="6" t="s">
        <v>208</v>
      </c>
      <c r="E833" s="6" t="s">
        <v>16</v>
      </c>
      <c r="F833" s="6">
        <v>2</v>
      </c>
      <c r="G833" s="7">
        <v>2000</v>
      </c>
      <c r="H833" s="25">
        <v>37.200000000000003</v>
      </c>
      <c r="I833" s="17">
        <v>170</v>
      </c>
      <c r="J833" s="7">
        <v>100</v>
      </c>
      <c r="K833" s="7">
        <v>200</v>
      </c>
      <c r="L833" s="7">
        <v>109.5</v>
      </c>
      <c r="M833" s="7">
        <f>(International_Education_Costs!$G833+International_Education_Costs!$I833+International_Education_Costs!$J833+International_Education_Costs!$K833)*International_Education_Costs!$L833</f>
        <v>270465</v>
      </c>
      <c r="N833" s="7">
        <f>International_Education_Costs!$G833+International_Education_Costs!$I833+International_Education_Costs!$J833+International_Education_Costs!$K833</f>
        <v>2470</v>
      </c>
    </row>
    <row r="834" spans="1:14" x14ac:dyDescent="0.3">
      <c r="A834" s="4" t="s">
        <v>1228</v>
      </c>
      <c r="B834" s="4" t="s">
        <v>1282</v>
      </c>
      <c r="C834" s="4" t="s">
        <v>1283</v>
      </c>
      <c r="D834" s="4" t="s">
        <v>20</v>
      </c>
      <c r="E834" s="4" t="s">
        <v>75</v>
      </c>
      <c r="F834" s="4">
        <v>3</v>
      </c>
      <c r="G834" s="5">
        <v>13500</v>
      </c>
      <c r="H834" s="24">
        <v>65.400000000000006</v>
      </c>
      <c r="I834" s="16">
        <v>680</v>
      </c>
      <c r="J834" s="5">
        <v>140</v>
      </c>
      <c r="K834" s="5">
        <v>700</v>
      </c>
      <c r="L834" s="5">
        <v>0.31</v>
      </c>
      <c r="M834" s="5">
        <f>(International_Education_Costs!$G834+International_Education_Costs!$I834+International_Education_Costs!$J834+International_Education_Costs!$K834)*International_Education_Costs!$L834</f>
        <v>4656.2</v>
      </c>
      <c r="N834" s="5">
        <f>International_Education_Costs!$G834+International_Education_Costs!$I834+International_Education_Costs!$J834+International_Education_Costs!$K834</f>
        <v>15020</v>
      </c>
    </row>
    <row r="835" spans="1:14" x14ac:dyDescent="0.3">
      <c r="A835" s="6" t="s">
        <v>1231</v>
      </c>
      <c r="B835" s="6" t="s">
        <v>1284</v>
      </c>
      <c r="C835" s="6" t="s">
        <v>1285</v>
      </c>
      <c r="D835" s="6" t="s">
        <v>40</v>
      </c>
      <c r="E835" s="6" t="s">
        <v>122</v>
      </c>
      <c r="F835" s="6">
        <v>4</v>
      </c>
      <c r="G835" s="7">
        <v>3600</v>
      </c>
      <c r="H835" s="25">
        <v>41.8</v>
      </c>
      <c r="I835" s="17">
        <v>320</v>
      </c>
      <c r="J835" s="7">
        <v>120</v>
      </c>
      <c r="K835" s="7">
        <v>300</v>
      </c>
      <c r="L835" s="7">
        <v>36.799999999999997</v>
      </c>
      <c r="M835" s="7">
        <f>(International_Education_Costs!$G835+International_Education_Costs!$I835+International_Education_Costs!$J835+International_Education_Costs!$K835)*International_Education_Costs!$L835</f>
        <v>159712</v>
      </c>
      <c r="N835" s="7">
        <f>International_Education_Costs!$G835+International_Education_Costs!$I835+International_Education_Costs!$J835+International_Education_Costs!$K835</f>
        <v>4340</v>
      </c>
    </row>
    <row r="836" spans="1:14" x14ac:dyDescent="0.3">
      <c r="A836" s="4" t="s">
        <v>1234</v>
      </c>
      <c r="B836" s="4" t="s">
        <v>1286</v>
      </c>
      <c r="C836" s="4" t="s">
        <v>1287</v>
      </c>
      <c r="D836" s="4" t="s">
        <v>15</v>
      </c>
      <c r="E836" s="4" t="s">
        <v>16</v>
      </c>
      <c r="F836" s="4">
        <v>2</v>
      </c>
      <c r="G836" s="5">
        <v>4100</v>
      </c>
      <c r="H836" s="24">
        <v>56.5</v>
      </c>
      <c r="I836" s="16">
        <v>400</v>
      </c>
      <c r="J836" s="5">
        <v>80</v>
      </c>
      <c r="K836" s="5">
        <v>450</v>
      </c>
      <c r="L836" s="5">
        <v>0.92</v>
      </c>
      <c r="M836" s="5">
        <f>(International_Education_Costs!$G836+International_Education_Costs!$I836+International_Education_Costs!$J836+International_Education_Costs!$K836)*International_Education_Costs!$L836</f>
        <v>4627.6000000000004</v>
      </c>
      <c r="N836" s="5">
        <f>International_Education_Costs!$G836+International_Education_Costs!$I836+International_Education_Costs!$J836+International_Education_Costs!$K836</f>
        <v>5030</v>
      </c>
    </row>
    <row r="837" spans="1:14" x14ac:dyDescent="0.3">
      <c r="A837" s="6" t="s">
        <v>1237</v>
      </c>
      <c r="B837" s="6" t="s">
        <v>1288</v>
      </c>
      <c r="C837" s="6" t="s">
        <v>1289</v>
      </c>
      <c r="D837" s="6" t="s">
        <v>252</v>
      </c>
      <c r="E837" s="6" t="s">
        <v>75</v>
      </c>
      <c r="F837" s="6">
        <v>4</v>
      </c>
      <c r="G837" s="7">
        <v>2400</v>
      </c>
      <c r="H837" s="25">
        <v>43.5</v>
      </c>
      <c r="I837" s="17">
        <v>280</v>
      </c>
      <c r="J837" s="7">
        <v>90</v>
      </c>
      <c r="K837" s="7">
        <v>320</v>
      </c>
      <c r="L837" s="7">
        <v>108.5</v>
      </c>
      <c r="M837" s="7">
        <f>(International_Education_Costs!$G837+International_Education_Costs!$I837+International_Education_Costs!$J837+International_Education_Costs!$K837)*International_Education_Costs!$L837</f>
        <v>335265</v>
      </c>
      <c r="N837" s="7">
        <f>International_Education_Costs!$G837+International_Education_Costs!$I837+International_Education_Costs!$J837+International_Education_Costs!$K837</f>
        <v>3090</v>
      </c>
    </row>
    <row r="838" spans="1:14" x14ac:dyDescent="0.3">
      <c r="A838" s="4" t="s">
        <v>1240</v>
      </c>
      <c r="B838" s="4" t="s">
        <v>1290</v>
      </c>
      <c r="C838" s="4" t="s">
        <v>1291</v>
      </c>
      <c r="D838" s="4" t="s">
        <v>242</v>
      </c>
      <c r="E838" s="4" t="s">
        <v>16</v>
      </c>
      <c r="F838" s="4">
        <v>2</v>
      </c>
      <c r="G838" s="5">
        <v>2700</v>
      </c>
      <c r="H838" s="24">
        <v>46.8</v>
      </c>
      <c r="I838" s="16">
        <v>300</v>
      </c>
      <c r="J838" s="5">
        <v>150</v>
      </c>
      <c r="K838" s="5">
        <v>280</v>
      </c>
      <c r="L838" s="5">
        <v>42150</v>
      </c>
      <c r="M838" s="5">
        <f>(International_Education_Costs!$G838+International_Education_Costs!$I838+International_Education_Costs!$J838+International_Education_Costs!$K838)*International_Education_Costs!$L838</f>
        <v>144574500</v>
      </c>
      <c r="N838" s="5">
        <f>International_Education_Costs!$G838+International_Education_Costs!$I838+International_Education_Costs!$J838+International_Education_Costs!$K838</f>
        <v>3430</v>
      </c>
    </row>
    <row r="839" spans="1:14" x14ac:dyDescent="0.3">
      <c r="A839" s="6" t="s">
        <v>1243</v>
      </c>
      <c r="B839" s="6" t="s">
        <v>1292</v>
      </c>
      <c r="C839" s="6" t="s">
        <v>1293</v>
      </c>
      <c r="D839" s="6" t="s">
        <v>223</v>
      </c>
      <c r="E839" s="6" t="s">
        <v>16</v>
      </c>
      <c r="F839" s="6">
        <v>2</v>
      </c>
      <c r="G839" s="7">
        <v>3400</v>
      </c>
      <c r="H839" s="25">
        <v>38.5</v>
      </c>
      <c r="I839" s="17">
        <v>200</v>
      </c>
      <c r="J839" s="7">
        <v>160</v>
      </c>
      <c r="K839" s="7">
        <v>250</v>
      </c>
      <c r="L839" s="7">
        <v>12300</v>
      </c>
      <c r="M839" s="7">
        <f>(International_Education_Costs!$G839+International_Education_Costs!$I839+International_Education_Costs!$J839+International_Education_Costs!$K839)*International_Education_Costs!$L839</f>
        <v>49323000</v>
      </c>
      <c r="N839" s="7">
        <f>International_Education_Costs!$G839+International_Education_Costs!$I839+International_Education_Costs!$J839+International_Education_Costs!$K839</f>
        <v>4010</v>
      </c>
    </row>
    <row r="840" spans="1:14" x14ac:dyDescent="0.3">
      <c r="A840" s="4" t="s">
        <v>1246</v>
      </c>
      <c r="B840" s="4" t="s">
        <v>1294</v>
      </c>
      <c r="C840" s="4" t="s">
        <v>1295</v>
      </c>
      <c r="D840" s="4" t="s">
        <v>20</v>
      </c>
      <c r="E840" s="4" t="s">
        <v>75</v>
      </c>
      <c r="F840" s="4">
        <v>3</v>
      </c>
      <c r="G840" s="5">
        <v>4500</v>
      </c>
      <c r="H840" s="24">
        <v>42.8</v>
      </c>
      <c r="I840" s="16">
        <v>300</v>
      </c>
      <c r="J840" s="5">
        <v>110</v>
      </c>
      <c r="K840" s="5">
        <v>300</v>
      </c>
      <c r="L840" s="5">
        <v>1</v>
      </c>
      <c r="M840" s="5">
        <f>(International_Education_Costs!$G840+International_Education_Costs!$I840+International_Education_Costs!$J840+International_Education_Costs!$K840)*International_Education_Costs!$L840</f>
        <v>5210</v>
      </c>
      <c r="N840" s="5">
        <f>International_Education_Costs!$G840+International_Education_Costs!$I840+International_Education_Costs!$J840+International_Education_Costs!$K840</f>
        <v>5210</v>
      </c>
    </row>
    <row r="841" spans="1:14" x14ac:dyDescent="0.3">
      <c r="A841" s="6" t="s">
        <v>1225</v>
      </c>
      <c r="B841" s="6" t="s">
        <v>1296</v>
      </c>
      <c r="C841" s="6" t="s">
        <v>1297</v>
      </c>
      <c r="D841" s="6" t="s">
        <v>63</v>
      </c>
      <c r="E841" s="6" t="s">
        <v>122</v>
      </c>
      <c r="F841" s="6">
        <v>4</v>
      </c>
      <c r="G841" s="7">
        <v>2300</v>
      </c>
      <c r="H841" s="25">
        <v>36.799999999999997</v>
      </c>
      <c r="I841" s="17">
        <v>160</v>
      </c>
      <c r="J841" s="7">
        <v>100</v>
      </c>
      <c r="K841" s="7">
        <v>200</v>
      </c>
      <c r="L841" s="7">
        <v>109.5</v>
      </c>
      <c r="M841" s="7">
        <f>(International_Education_Costs!$G841+International_Education_Costs!$I841+International_Education_Costs!$J841+International_Education_Costs!$K841)*International_Education_Costs!$L841</f>
        <v>302220</v>
      </c>
      <c r="N841" s="7">
        <f>International_Education_Costs!$G841+International_Education_Costs!$I841+International_Education_Costs!$J841+International_Education_Costs!$K841</f>
        <v>2760</v>
      </c>
    </row>
    <row r="842" spans="1:14" x14ac:dyDescent="0.3">
      <c r="A842" s="4" t="s">
        <v>1228</v>
      </c>
      <c r="B842" s="4" t="s">
        <v>1298</v>
      </c>
      <c r="C842" s="4" t="s">
        <v>1299</v>
      </c>
      <c r="D842" s="4" t="s">
        <v>208</v>
      </c>
      <c r="E842" s="4" t="s">
        <v>16</v>
      </c>
      <c r="F842" s="4">
        <v>2</v>
      </c>
      <c r="G842" s="5">
        <v>13000</v>
      </c>
      <c r="H842" s="24">
        <v>64.5</v>
      </c>
      <c r="I842" s="16">
        <v>650</v>
      </c>
      <c r="J842" s="5">
        <v>140</v>
      </c>
      <c r="K842" s="5">
        <v>700</v>
      </c>
      <c r="L842" s="5">
        <v>0.31</v>
      </c>
      <c r="M842" s="5">
        <f>(International_Education_Costs!$G842+International_Education_Costs!$I842+International_Education_Costs!$J842+International_Education_Costs!$K842)*International_Education_Costs!$L842</f>
        <v>4491.8999999999996</v>
      </c>
      <c r="N842" s="5">
        <f>International_Education_Costs!$G842+International_Education_Costs!$I842+International_Education_Costs!$J842+International_Education_Costs!$K842</f>
        <v>14490</v>
      </c>
    </row>
    <row r="843" spans="1:14" x14ac:dyDescent="0.3">
      <c r="A843" s="6" t="s">
        <v>1231</v>
      </c>
      <c r="B843" s="6" t="s">
        <v>1300</v>
      </c>
      <c r="C843" s="6" t="s">
        <v>1301</v>
      </c>
      <c r="D843" s="6" t="s">
        <v>71</v>
      </c>
      <c r="E843" s="6" t="s">
        <v>16</v>
      </c>
      <c r="F843" s="6">
        <v>2</v>
      </c>
      <c r="G843" s="7">
        <v>3300</v>
      </c>
      <c r="H843" s="25">
        <v>40.5</v>
      </c>
      <c r="I843" s="17">
        <v>300</v>
      </c>
      <c r="J843" s="7">
        <v>120</v>
      </c>
      <c r="K843" s="7">
        <v>300</v>
      </c>
      <c r="L843" s="7">
        <v>36.799999999999997</v>
      </c>
      <c r="M843" s="7">
        <f>(International_Education_Costs!$G843+International_Education_Costs!$I843+International_Education_Costs!$J843+International_Education_Costs!$K843)*International_Education_Costs!$L843</f>
        <v>147936</v>
      </c>
      <c r="N843" s="7">
        <f>International_Education_Costs!$G843+International_Education_Costs!$I843+International_Education_Costs!$J843+International_Education_Costs!$K843</f>
        <v>4020</v>
      </c>
    </row>
    <row r="844" spans="1:14" x14ac:dyDescent="0.3">
      <c r="A844" s="4" t="s">
        <v>1234</v>
      </c>
      <c r="B844" s="4" t="s">
        <v>1302</v>
      </c>
      <c r="C844" s="4" t="s">
        <v>1303</v>
      </c>
      <c r="D844" s="4" t="s">
        <v>216</v>
      </c>
      <c r="E844" s="4" t="s">
        <v>75</v>
      </c>
      <c r="F844" s="4">
        <v>3</v>
      </c>
      <c r="G844" s="5">
        <v>3900</v>
      </c>
      <c r="H844" s="24">
        <v>55.4</v>
      </c>
      <c r="I844" s="16">
        <v>380</v>
      </c>
      <c r="J844" s="5">
        <v>80</v>
      </c>
      <c r="K844" s="5">
        <v>450</v>
      </c>
      <c r="L844" s="5">
        <v>0.92</v>
      </c>
      <c r="M844" s="5">
        <f>(International_Education_Costs!$G844+International_Education_Costs!$I844+International_Education_Costs!$J844+International_Education_Costs!$K844)*International_Education_Costs!$L844</f>
        <v>4425.2</v>
      </c>
      <c r="N844" s="5">
        <f>International_Education_Costs!$G844+International_Education_Costs!$I844+International_Education_Costs!$J844+International_Education_Costs!$K844</f>
        <v>4810</v>
      </c>
    </row>
    <row r="845" spans="1:14" x14ac:dyDescent="0.3">
      <c r="A845" s="6" t="s">
        <v>1237</v>
      </c>
      <c r="B845" s="6" t="s">
        <v>1304</v>
      </c>
      <c r="C845" s="6" t="s">
        <v>1305</v>
      </c>
      <c r="D845" s="6" t="s">
        <v>15</v>
      </c>
      <c r="E845" s="6" t="s">
        <v>16</v>
      </c>
      <c r="F845" s="6">
        <v>2</v>
      </c>
      <c r="G845" s="7">
        <v>2300</v>
      </c>
      <c r="H845" s="25">
        <v>42.8</v>
      </c>
      <c r="I845" s="17">
        <v>270</v>
      </c>
      <c r="J845" s="7">
        <v>90</v>
      </c>
      <c r="K845" s="7">
        <v>320</v>
      </c>
      <c r="L845" s="7">
        <v>108.5</v>
      </c>
      <c r="M845" s="7">
        <f>(International_Education_Costs!$G845+International_Education_Costs!$I845+International_Education_Costs!$J845+International_Education_Costs!$K845)*International_Education_Costs!$L845</f>
        <v>323330</v>
      </c>
      <c r="N845" s="7">
        <f>International_Education_Costs!$G845+International_Education_Costs!$I845+International_Education_Costs!$J845+International_Education_Costs!$K845</f>
        <v>2980</v>
      </c>
    </row>
    <row r="846" spans="1:14" x14ac:dyDescent="0.3">
      <c r="A846" s="4" t="s">
        <v>1240</v>
      </c>
      <c r="B846" s="4" t="s">
        <v>1306</v>
      </c>
      <c r="C846" s="4" t="s">
        <v>1307</v>
      </c>
      <c r="D846" s="4" t="s">
        <v>40</v>
      </c>
      <c r="E846" s="4" t="s">
        <v>122</v>
      </c>
      <c r="F846" s="4">
        <v>4</v>
      </c>
      <c r="G846" s="5">
        <v>2600</v>
      </c>
      <c r="H846" s="24">
        <v>45.5</v>
      </c>
      <c r="I846" s="16">
        <v>280</v>
      </c>
      <c r="J846" s="5">
        <v>150</v>
      </c>
      <c r="K846" s="5">
        <v>280</v>
      </c>
      <c r="L846" s="5">
        <v>42150</v>
      </c>
      <c r="M846" s="5">
        <f>(International_Education_Costs!$G846+International_Education_Costs!$I846+International_Education_Costs!$J846+International_Education_Costs!$K846)*International_Education_Costs!$L846</f>
        <v>139516500</v>
      </c>
      <c r="N846" s="5">
        <f>International_Education_Costs!$G846+International_Education_Costs!$I846+International_Education_Costs!$J846+International_Education_Costs!$K846</f>
        <v>3310</v>
      </c>
    </row>
    <row r="847" spans="1:14" x14ac:dyDescent="0.3">
      <c r="A847" s="6" t="s">
        <v>1243</v>
      </c>
      <c r="B847" s="6" t="s">
        <v>1308</v>
      </c>
      <c r="C847" s="6" t="s">
        <v>1309</v>
      </c>
      <c r="D847" s="6" t="s">
        <v>242</v>
      </c>
      <c r="E847" s="6" t="s">
        <v>16</v>
      </c>
      <c r="F847" s="6">
        <v>2</v>
      </c>
      <c r="G847" s="7">
        <v>3200</v>
      </c>
      <c r="H847" s="25">
        <v>37.799999999999997</v>
      </c>
      <c r="I847" s="17">
        <v>180</v>
      </c>
      <c r="J847" s="7">
        <v>160</v>
      </c>
      <c r="K847" s="7">
        <v>250</v>
      </c>
      <c r="L847" s="7">
        <v>12300</v>
      </c>
      <c r="M847" s="7">
        <f>(International_Education_Costs!$G847+International_Education_Costs!$I847+International_Education_Costs!$J847+International_Education_Costs!$K847)*International_Education_Costs!$L847</f>
        <v>46617000</v>
      </c>
      <c r="N847" s="7">
        <f>International_Education_Costs!$G847+International_Education_Costs!$I847+International_Education_Costs!$J847+International_Education_Costs!$K847</f>
        <v>3790</v>
      </c>
    </row>
    <row r="848" spans="1:14" x14ac:dyDescent="0.3">
      <c r="A848" s="4" t="s">
        <v>1246</v>
      </c>
      <c r="B848" s="4" t="s">
        <v>1310</v>
      </c>
      <c r="C848" s="4" t="s">
        <v>1311</v>
      </c>
      <c r="D848" s="4" t="s">
        <v>63</v>
      </c>
      <c r="E848" s="4" t="s">
        <v>75</v>
      </c>
      <c r="F848" s="4">
        <v>4</v>
      </c>
      <c r="G848" s="5">
        <v>4200</v>
      </c>
      <c r="H848" s="24">
        <v>42.1</v>
      </c>
      <c r="I848" s="16">
        <v>280</v>
      </c>
      <c r="J848" s="5">
        <v>110</v>
      </c>
      <c r="K848" s="5">
        <v>300</v>
      </c>
      <c r="L848" s="5">
        <v>1</v>
      </c>
      <c r="M848" s="5">
        <f>(International_Education_Costs!$G848+International_Education_Costs!$I848+International_Education_Costs!$J848+International_Education_Costs!$K848)*International_Education_Costs!$L848</f>
        <v>4890</v>
      </c>
      <c r="N848" s="5">
        <f>International_Education_Costs!$G848+International_Education_Costs!$I848+International_Education_Costs!$J848+International_Education_Costs!$K848</f>
        <v>4890</v>
      </c>
    </row>
    <row r="849" spans="1:14" x14ac:dyDescent="0.3">
      <c r="A849" s="6" t="s">
        <v>168</v>
      </c>
      <c r="B849" s="6" t="s">
        <v>169</v>
      </c>
      <c r="C849" s="6" t="s">
        <v>170</v>
      </c>
      <c r="D849" s="6" t="s">
        <v>15</v>
      </c>
      <c r="E849" s="6" t="s">
        <v>16</v>
      </c>
      <c r="F849" s="6">
        <v>2</v>
      </c>
      <c r="G849" s="7">
        <v>8500</v>
      </c>
      <c r="H849" s="25">
        <v>55.4</v>
      </c>
      <c r="I849" s="17">
        <v>500</v>
      </c>
      <c r="J849" s="7">
        <v>120</v>
      </c>
      <c r="K849" s="7">
        <v>400</v>
      </c>
      <c r="L849" s="7">
        <v>4.6500000000000004</v>
      </c>
      <c r="M849" s="7">
        <f>(International_Education_Costs!$G849+International_Education_Costs!$I849+International_Education_Costs!$J849+International_Education_Costs!$K849)*International_Education_Costs!$L849</f>
        <v>44268</v>
      </c>
      <c r="N849" s="7">
        <f>International_Education_Costs!$G849+International_Education_Costs!$I849+International_Education_Costs!$J849+International_Education_Costs!$K849</f>
        <v>9520</v>
      </c>
    </row>
    <row r="850" spans="1:14" x14ac:dyDescent="0.3">
      <c r="A850" s="4" t="s">
        <v>376</v>
      </c>
      <c r="B850" s="4" t="s">
        <v>377</v>
      </c>
      <c r="C850" s="4" t="s">
        <v>378</v>
      </c>
      <c r="D850" s="4" t="s">
        <v>20</v>
      </c>
      <c r="E850" s="4" t="s">
        <v>122</v>
      </c>
      <c r="F850" s="4">
        <v>4</v>
      </c>
      <c r="G850" s="5">
        <v>5000</v>
      </c>
      <c r="H850" s="24">
        <v>72.5</v>
      </c>
      <c r="I850" s="16">
        <v>800</v>
      </c>
      <c r="J850" s="5">
        <v>200</v>
      </c>
      <c r="K850" s="5">
        <v>800</v>
      </c>
      <c r="L850" s="5">
        <v>3.75</v>
      </c>
      <c r="M850" s="5">
        <f>(International_Education_Costs!$G850+International_Education_Costs!$I850+International_Education_Costs!$J850+International_Education_Costs!$K850)*International_Education_Costs!$L850</f>
        <v>25500</v>
      </c>
      <c r="N850" s="5">
        <f>International_Education_Costs!$G850+International_Education_Costs!$I850+International_Education_Costs!$J850+International_Education_Costs!$K850</f>
        <v>6800</v>
      </c>
    </row>
    <row r="851" spans="1:14" x14ac:dyDescent="0.3">
      <c r="A851" s="6" t="s">
        <v>12</v>
      </c>
      <c r="B851" s="6" t="s">
        <v>123</v>
      </c>
      <c r="C851" s="6" t="s">
        <v>14</v>
      </c>
      <c r="D851" s="6" t="s">
        <v>40</v>
      </c>
      <c r="E851" s="6" t="s">
        <v>16</v>
      </c>
      <c r="F851" s="6">
        <v>2</v>
      </c>
      <c r="G851" s="7">
        <v>58000</v>
      </c>
      <c r="H851" s="25">
        <v>82.1</v>
      </c>
      <c r="I851" s="17">
        <v>2200</v>
      </c>
      <c r="J851" s="7">
        <v>160</v>
      </c>
      <c r="K851" s="7">
        <v>1500</v>
      </c>
      <c r="L851" s="7">
        <v>1</v>
      </c>
      <c r="M851" s="7">
        <f>(International_Education_Costs!$G851+International_Education_Costs!$I851+International_Education_Costs!$J851+International_Education_Costs!$K851)*International_Education_Costs!$L851</f>
        <v>61860</v>
      </c>
      <c r="N851" s="7">
        <f>International_Education_Costs!$G851+International_Education_Costs!$I851+International_Education_Costs!$J851+International_Education_Costs!$K851</f>
        <v>61860</v>
      </c>
    </row>
    <row r="852" spans="1:14" x14ac:dyDescent="0.3">
      <c r="A852" s="4" t="s">
        <v>17</v>
      </c>
      <c r="B852" s="4" t="s">
        <v>18</v>
      </c>
      <c r="C852" s="4" t="s">
        <v>1312</v>
      </c>
      <c r="D852" s="4" t="s">
        <v>63</v>
      </c>
      <c r="E852" s="4" t="s">
        <v>16</v>
      </c>
      <c r="F852" s="4">
        <v>2</v>
      </c>
      <c r="G852" s="5">
        <v>42000</v>
      </c>
      <c r="H852" s="24">
        <v>75.3</v>
      </c>
      <c r="I852" s="16">
        <v>1800</v>
      </c>
      <c r="J852" s="5">
        <v>485</v>
      </c>
      <c r="K852" s="5">
        <v>800</v>
      </c>
      <c r="L852" s="5">
        <v>0.79</v>
      </c>
      <c r="M852" s="5">
        <f>(International_Education_Costs!$G852+International_Education_Costs!$I852+International_Education_Costs!$J852+International_Education_Costs!$K852)*International_Education_Costs!$L852</f>
        <v>35617.15</v>
      </c>
      <c r="N852" s="5">
        <f>International_Education_Costs!$G852+International_Education_Costs!$I852+International_Education_Costs!$J852+International_Education_Costs!$K852</f>
        <v>45085</v>
      </c>
    </row>
    <row r="853" spans="1:14" x14ac:dyDescent="0.3">
      <c r="A853" s="6" t="s">
        <v>184</v>
      </c>
      <c r="B853" s="6" t="s">
        <v>771</v>
      </c>
      <c r="C853" s="6" t="s">
        <v>1313</v>
      </c>
      <c r="D853" s="6" t="s">
        <v>208</v>
      </c>
      <c r="E853" s="6" t="s">
        <v>122</v>
      </c>
      <c r="F853" s="6">
        <v>4</v>
      </c>
      <c r="G853" s="7">
        <v>3500</v>
      </c>
      <c r="H853" s="25">
        <v>71.400000000000006</v>
      </c>
      <c r="I853" s="17">
        <v>1100</v>
      </c>
      <c r="J853" s="7">
        <v>80</v>
      </c>
      <c r="K853" s="7">
        <v>750</v>
      </c>
      <c r="L853" s="7">
        <v>0.92</v>
      </c>
      <c r="M853" s="7">
        <f>(International_Education_Costs!$G853+International_Education_Costs!$I853+International_Education_Costs!$J853+International_Education_Costs!$K853)*International_Education_Costs!$L853</f>
        <v>4995.6000000000004</v>
      </c>
      <c r="N853" s="7">
        <f>International_Education_Costs!$G853+International_Education_Costs!$I853+International_Education_Costs!$J853+International_Education_Costs!$K853</f>
        <v>5430</v>
      </c>
    </row>
    <row r="854" spans="1:14" x14ac:dyDescent="0.3">
      <c r="A854" s="4" t="s">
        <v>187</v>
      </c>
      <c r="B854" s="4" t="s">
        <v>188</v>
      </c>
      <c r="C854" s="4" t="s">
        <v>189</v>
      </c>
      <c r="D854" s="4" t="s">
        <v>71</v>
      </c>
      <c r="E854" s="4" t="s">
        <v>16</v>
      </c>
      <c r="F854" s="4">
        <v>2</v>
      </c>
      <c r="G854" s="5">
        <v>4000</v>
      </c>
      <c r="H854" s="24">
        <v>73.2</v>
      </c>
      <c r="I854" s="16">
        <v>1200</v>
      </c>
      <c r="J854" s="5">
        <v>120</v>
      </c>
      <c r="K854" s="5">
        <v>700</v>
      </c>
      <c r="L854" s="5">
        <v>0.92</v>
      </c>
      <c r="M854" s="5">
        <f>(International_Education_Costs!$G854+International_Education_Costs!$I854+International_Education_Costs!$J854+International_Education_Costs!$K854)*International_Education_Costs!$L854</f>
        <v>5538.4000000000005</v>
      </c>
      <c r="N854" s="5">
        <f>International_Education_Costs!$G854+International_Education_Costs!$I854+International_Education_Costs!$J854+International_Education_Costs!$K854</f>
        <v>6020</v>
      </c>
    </row>
    <row r="855" spans="1:14" x14ac:dyDescent="0.3">
      <c r="A855" s="6" t="s">
        <v>44</v>
      </c>
      <c r="B855" s="6" t="s">
        <v>45</v>
      </c>
      <c r="C855" s="6" t="s">
        <v>46</v>
      </c>
      <c r="D855" s="6" t="s">
        <v>15</v>
      </c>
      <c r="E855" s="6" t="s">
        <v>16</v>
      </c>
      <c r="F855" s="6">
        <v>2</v>
      </c>
      <c r="G855" s="7">
        <v>4500</v>
      </c>
      <c r="H855" s="25">
        <v>84.3</v>
      </c>
      <c r="I855" s="17">
        <v>1800</v>
      </c>
      <c r="J855" s="7">
        <v>99</v>
      </c>
      <c r="K855" s="7">
        <v>850</v>
      </c>
      <c r="L855" s="7">
        <v>0.92</v>
      </c>
      <c r="M855" s="7">
        <f>(International_Education_Costs!$G855+International_Education_Costs!$I855+International_Education_Costs!$J855+International_Education_Costs!$K855)*International_Education_Costs!$L855</f>
        <v>6669.08</v>
      </c>
      <c r="N855" s="7">
        <f>International_Education_Costs!$G855+International_Education_Costs!$I855+International_Education_Costs!$J855+International_Education_Costs!$K855</f>
        <v>7249</v>
      </c>
    </row>
    <row r="856" spans="1:14" x14ac:dyDescent="0.3">
      <c r="A856" s="4" t="s">
        <v>168</v>
      </c>
      <c r="B856" s="4" t="s">
        <v>1314</v>
      </c>
      <c r="C856" s="4" t="s">
        <v>1315</v>
      </c>
      <c r="D856" s="4" t="s">
        <v>216</v>
      </c>
      <c r="E856" s="4" t="s">
        <v>75</v>
      </c>
      <c r="F856" s="4">
        <v>3</v>
      </c>
      <c r="G856" s="5">
        <v>7500</v>
      </c>
      <c r="H856" s="24">
        <v>52.1</v>
      </c>
      <c r="I856" s="16">
        <v>450</v>
      </c>
      <c r="J856" s="5">
        <v>120</v>
      </c>
      <c r="K856" s="5">
        <v>400</v>
      </c>
      <c r="L856" s="5">
        <v>4.6500000000000004</v>
      </c>
      <c r="M856" s="5">
        <f>(International_Education_Costs!$G856+International_Education_Costs!$I856+International_Education_Costs!$J856+International_Education_Costs!$K856)*International_Education_Costs!$L856</f>
        <v>39385.5</v>
      </c>
      <c r="N856" s="5">
        <f>International_Education_Costs!$G856+International_Education_Costs!$I856+International_Education_Costs!$J856+International_Education_Costs!$K856</f>
        <v>8470</v>
      </c>
    </row>
    <row r="857" spans="1:14" x14ac:dyDescent="0.3">
      <c r="A857" s="6" t="s">
        <v>376</v>
      </c>
      <c r="B857" s="6" t="s">
        <v>1316</v>
      </c>
      <c r="C857" s="6" t="s">
        <v>1317</v>
      </c>
      <c r="D857" s="6" t="s">
        <v>252</v>
      </c>
      <c r="E857" s="6" t="s">
        <v>16</v>
      </c>
      <c r="F857" s="6">
        <v>2</v>
      </c>
      <c r="G857" s="7">
        <v>4800</v>
      </c>
      <c r="H857" s="25">
        <v>70.2</v>
      </c>
      <c r="I857" s="17">
        <v>750</v>
      </c>
      <c r="J857" s="7">
        <v>200</v>
      </c>
      <c r="K857" s="7">
        <v>800</v>
      </c>
      <c r="L857" s="7">
        <v>3.75</v>
      </c>
      <c r="M857" s="7">
        <f>(International_Education_Costs!$G857+International_Education_Costs!$I857+International_Education_Costs!$J857+International_Education_Costs!$K857)*International_Education_Costs!$L857</f>
        <v>24562.5</v>
      </c>
      <c r="N857" s="7">
        <f>International_Education_Costs!$G857+International_Education_Costs!$I857+International_Education_Costs!$J857+International_Education_Costs!$K857</f>
        <v>6550</v>
      </c>
    </row>
    <row r="858" spans="1:14" x14ac:dyDescent="0.3">
      <c r="A858" s="4" t="s">
        <v>12</v>
      </c>
      <c r="B858" s="4" t="s">
        <v>120</v>
      </c>
      <c r="C858" s="4" t="s">
        <v>121</v>
      </c>
      <c r="D858" s="4" t="s">
        <v>15</v>
      </c>
      <c r="E858" s="4" t="s">
        <v>122</v>
      </c>
      <c r="F858" s="4">
        <v>5</v>
      </c>
      <c r="G858" s="5">
        <v>52000</v>
      </c>
      <c r="H858" s="24">
        <v>84.3</v>
      </c>
      <c r="I858" s="16">
        <v>2300</v>
      </c>
      <c r="J858" s="5">
        <v>160</v>
      </c>
      <c r="K858" s="5">
        <v>1500</v>
      </c>
      <c r="L858" s="5">
        <v>1</v>
      </c>
      <c r="M858" s="5">
        <f>(International_Education_Costs!$G858+International_Education_Costs!$I858+International_Education_Costs!$J858+International_Education_Costs!$K858)*International_Education_Costs!$L858</f>
        <v>55960</v>
      </c>
      <c r="N858" s="5">
        <f>International_Education_Costs!$G858+International_Education_Costs!$I858+International_Education_Costs!$J858+International_Education_Costs!$K858</f>
        <v>55960</v>
      </c>
    </row>
    <row r="859" spans="1:14" x14ac:dyDescent="0.3">
      <c r="A859" s="6" t="s">
        <v>17</v>
      </c>
      <c r="B859" s="6" t="s">
        <v>13</v>
      </c>
      <c r="C859" s="6" t="s">
        <v>128</v>
      </c>
      <c r="D859" s="6" t="s">
        <v>40</v>
      </c>
      <c r="E859" s="6" t="s">
        <v>122</v>
      </c>
      <c r="F859" s="6">
        <v>4</v>
      </c>
      <c r="G859" s="7">
        <v>45000</v>
      </c>
      <c r="H859" s="25">
        <v>71.5</v>
      </c>
      <c r="I859" s="17">
        <v>1600</v>
      </c>
      <c r="J859" s="7">
        <v>485</v>
      </c>
      <c r="K859" s="7">
        <v>800</v>
      </c>
      <c r="L859" s="7">
        <v>0.79</v>
      </c>
      <c r="M859" s="7">
        <f>(International_Education_Costs!$G859+International_Education_Costs!$I859+International_Education_Costs!$J859+International_Education_Costs!$K859)*International_Education_Costs!$L859</f>
        <v>37829.15</v>
      </c>
      <c r="N859" s="7">
        <f>International_Education_Costs!$G859+International_Education_Costs!$I859+International_Education_Costs!$J859+International_Education_Costs!$K859</f>
        <v>47885</v>
      </c>
    </row>
    <row r="860" spans="1:14" x14ac:dyDescent="0.3">
      <c r="A860" s="4" t="s">
        <v>184</v>
      </c>
      <c r="B860" s="4" t="s">
        <v>185</v>
      </c>
      <c r="C860" s="4" t="s">
        <v>1318</v>
      </c>
      <c r="D860" s="4" t="s">
        <v>20</v>
      </c>
      <c r="E860" s="4" t="s">
        <v>16</v>
      </c>
      <c r="F860" s="4">
        <v>2</v>
      </c>
      <c r="G860" s="5">
        <v>3800</v>
      </c>
      <c r="H860" s="24">
        <v>73.599999999999994</v>
      </c>
      <c r="I860" s="16">
        <v>1000</v>
      </c>
      <c r="J860" s="5">
        <v>80</v>
      </c>
      <c r="K860" s="5">
        <v>750</v>
      </c>
      <c r="L860" s="5">
        <v>0.92</v>
      </c>
      <c r="M860" s="5">
        <f>(International_Education_Costs!$G860+International_Education_Costs!$I860+International_Education_Costs!$J860+International_Education_Costs!$K860)*International_Education_Costs!$L860</f>
        <v>5179.6000000000004</v>
      </c>
      <c r="N860" s="5">
        <f>International_Education_Costs!$G860+International_Education_Costs!$I860+International_Education_Costs!$J860+International_Education_Costs!$K860</f>
        <v>5630</v>
      </c>
    </row>
    <row r="861" spans="1:14" x14ac:dyDescent="0.3">
      <c r="A861" s="6" t="s">
        <v>187</v>
      </c>
      <c r="B861" s="6" t="s">
        <v>775</v>
      </c>
      <c r="C861" s="6" t="s">
        <v>776</v>
      </c>
      <c r="D861" s="6" t="s">
        <v>208</v>
      </c>
      <c r="E861" s="6" t="s">
        <v>75</v>
      </c>
      <c r="F861" s="6">
        <v>3</v>
      </c>
      <c r="G861" s="7">
        <v>3500</v>
      </c>
      <c r="H861" s="25">
        <v>71.2</v>
      </c>
      <c r="I861" s="17">
        <v>1100</v>
      </c>
      <c r="J861" s="7">
        <v>120</v>
      </c>
      <c r="K861" s="7">
        <v>700</v>
      </c>
      <c r="L861" s="7">
        <v>0.92</v>
      </c>
      <c r="M861" s="7">
        <f>(International_Education_Costs!$G861+International_Education_Costs!$I861+International_Education_Costs!$J861+International_Education_Costs!$K861)*International_Education_Costs!$L861</f>
        <v>4986.4000000000005</v>
      </c>
      <c r="N861" s="7">
        <f>International_Education_Costs!$G861+International_Education_Costs!$I861+International_Education_Costs!$J861+International_Education_Costs!$K861</f>
        <v>5420</v>
      </c>
    </row>
    <row r="862" spans="1:14" x14ac:dyDescent="0.3">
      <c r="A862" s="4" t="s">
        <v>44</v>
      </c>
      <c r="B862" s="4" t="s">
        <v>421</v>
      </c>
      <c r="C862" s="4" t="s">
        <v>1319</v>
      </c>
      <c r="D862" s="4" t="s">
        <v>63</v>
      </c>
      <c r="E862" s="4" t="s">
        <v>16</v>
      </c>
      <c r="F862" s="4">
        <v>2</v>
      </c>
      <c r="G862" s="5">
        <v>4200</v>
      </c>
      <c r="H862" s="24">
        <v>75.599999999999994</v>
      </c>
      <c r="I862" s="16">
        <v>1200</v>
      </c>
      <c r="J862" s="5">
        <v>99</v>
      </c>
      <c r="K862" s="5">
        <v>850</v>
      </c>
      <c r="L862" s="5">
        <v>0.92</v>
      </c>
      <c r="M862" s="5">
        <f>(International_Education_Costs!$G862+International_Education_Costs!$I862+International_Education_Costs!$J862+International_Education_Costs!$K862)*International_Education_Costs!$L862</f>
        <v>5841.08</v>
      </c>
      <c r="N862" s="5">
        <f>International_Education_Costs!$G862+International_Education_Costs!$I862+International_Education_Costs!$J862+International_Education_Costs!$K862</f>
        <v>6349</v>
      </c>
    </row>
    <row r="863" spans="1:14" x14ac:dyDescent="0.3">
      <c r="A863" s="6" t="s">
        <v>168</v>
      </c>
      <c r="B863" s="6" t="s">
        <v>1320</v>
      </c>
      <c r="C863" s="6" t="s">
        <v>1321</v>
      </c>
      <c r="D863" s="6" t="s">
        <v>71</v>
      </c>
      <c r="E863" s="6" t="s">
        <v>122</v>
      </c>
      <c r="F863" s="6">
        <v>4</v>
      </c>
      <c r="G863" s="7">
        <v>8000</v>
      </c>
      <c r="H863" s="25">
        <v>51.8</v>
      </c>
      <c r="I863" s="17">
        <v>400</v>
      </c>
      <c r="J863" s="7">
        <v>120</v>
      </c>
      <c r="K863" s="7">
        <v>400</v>
      </c>
      <c r="L863" s="7">
        <v>4.6500000000000004</v>
      </c>
      <c r="M863" s="7">
        <f>(International_Education_Costs!$G863+International_Education_Costs!$I863+International_Education_Costs!$J863+International_Education_Costs!$K863)*International_Education_Costs!$L863</f>
        <v>41478</v>
      </c>
      <c r="N863" s="7">
        <f>International_Education_Costs!$G863+International_Education_Costs!$I863+International_Education_Costs!$J863+International_Education_Costs!$K863</f>
        <v>8920</v>
      </c>
    </row>
    <row r="864" spans="1:14" x14ac:dyDescent="0.3">
      <c r="A864" s="4" t="s">
        <v>376</v>
      </c>
      <c r="B864" s="4" t="s">
        <v>1322</v>
      </c>
      <c r="C864" s="4" t="s">
        <v>1323</v>
      </c>
      <c r="D864" s="4" t="s">
        <v>15</v>
      </c>
      <c r="E864" s="4" t="s">
        <v>16</v>
      </c>
      <c r="F864" s="4">
        <v>2</v>
      </c>
      <c r="G864" s="5">
        <v>4500</v>
      </c>
      <c r="H864" s="24">
        <v>68.5</v>
      </c>
      <c r="I864" s="16">
        <v>700</v>
      </c>
      <c r="J864" s="5">
        <v>200</v>
      </c>
      <c r="K864" s="5">
        <v>800</v>
      </c>
      <c r="L864" s="5">
        <v>3.75</v>
      </c>
      <c r="M864" s="5">
        <f>(International_Education_Costs!$G864+International_Education_Costs!$I864+International_Education_Costs!$J864+International_Education_Costs!$K864)*International_Education_Costs!$L864</f>
        <v>23250</v>
      </c>
      <c r="N864" s="5">
        <f>International_Education_Costs!$G864+International_Education_Costs!$I864+International_Education_Costs!$J864+International_Education_Costs!$K864</f>
        <v>6200</v>
      </c>
    </row>
    <row r="865" spans="1:14" x14ac:dyDescent="0.3">
      <c r="A865" s="6" t="s">
        <v>12</v>
      </c>
      <c r="B865" s="6" t="s">
        <v>171</v>
      </c>
      <c r="C865" s="6" t="s">
        <v>172</v>
      </c>
      <c r="D865" s="6" t="s">
        <v>20</v>
      </c>
      <c r="E865" s="6" t="s">
        <v>16</v>
      </c>
      <c r="F865" s="6">
        <v>2</v>
      </c>
      <c r="G865" s="7">
        <v>54000</v>
      </c>
      <c r="H865" s="25">
        <v>83.2</v>
      </c>
      <c r="I865" s="17">
        <v>2000</v>
      </c>
      <c r="J865" s="7">
        <v>160</v>
      </c>
      <c r="K865" s="7">
        <v>1500</v>
      </c>
      <c r="L865" s="7">
        <v>1</v>
      </c>
      <c r="M865" s="7">
        <f>(International_Education_Costs!$G865+International_Education_Costs!$I865+International_Education_Costs!$J865+International_Education_Costs!$K865)*International_Education_Costs!$L865</f>
        <v>57660</v>
      </c>
      <c r="N865" s="7">
        <f>International_Education_Costs!$G865+International_Education_Costs!$I865+International_Education_Costs!$J865+International_Education_Costs!$K865</f>
        <v>57660</v>
      </c>
    </row>
    <row r="866" spans="1:14" x14ac:dyDescent="0.3">
      <c r="A866" s="4" t="s">
        <v>17</v>
      </c>
      <c r="B866" s="4" t="s">
        <v>126</v>
      </c>
      <c r="C866" s="4" t="s">
        <v>127</v>
      </c>
      <c r="D866" s="4" t="s">
        <v>208</v>
      </c>
      <c r="E866" s="4" t="s">
        <v>16</v>
      </c>
      <c r="F866" s="4">
        <v>2</v>
      </c>
      <c r="G866" s="5">
        <v>40000</v>
      </c>
      <c r="H866" s="24">
        <v>71.5</v>
      </c>
      <c r="I866" s="16">
        <v>1400</v>
      </c>
      <c r="J866" s="5">
        <v>485</v>
      </c>
      <c r="K866" s="5">
        <v>800</v>
      </c>
      <c r="L866" s="5">
        <v>0.79</v>
      </c>
      <c r="M866" s="5">
        <f>(International_Education_Costs!$G866+International_Education_Costs!$I866+International_Education_Costs!$J866+International_Education_Costs!$K866)*International_Education_Costs!$L866</f>
        <v>33721.15</v>
      </c>
      <c r="N866" s="5">
        <f>International_Education_Costs!$G866+International_Education_Costs!$I866+International_Education_Costs!$J866+International_Education_Costs!$K866</f>
        <v>42685</v>
      </c>
    </row>
    <row r="867" spans="1:14" x14ac:dyDescent="0.3">
      <c r="A867" s="6" t="s">
        <v>184</v>
      </c>
      <c r="B867" s="6" t="s">
        <v>783</v>
      </c>
      <c r="C867" s="6" t="s">
        <v>1324</v>
      </c>
      <c r="D867" s="6" t="s">
        <v>216</v>
      </c>
      <c r="E867" s="6" t="s">
        <v>122</v>
      </c>
      <c r="F867" s="6">
        <v>4</v>
      </c>
      <c r="G867" s="7">
        <v>3200</v>
      </c>
      <c r="H867" s="25">
        <v>68.5</v>
      </c>
      <c r="I867" s="17">
        <v>800</v>
      </c>
      <c r="J867" s="7">
        <v>80</v>
      </c>
      <c r="K867" s="7">
        <v>750</v>
      </c>
      <c r="L867" s="7">
        <v>0.92</v>
      </c>
      <c r="M867" s="7">
        <f>(International_Education_Costs!$G867+International_Education_Costs!$I867+International_Education_Costs!$J867+International_Education_Costs!$K867)*International_Education_Costs!$L867</f>
        <v>4443.6000000000004</v>
      </c>
      <c r="N867" s="7">
        <f>International_Education_Costs!$G867+International_Education_Costs!$I867+International_Education_Costs!$J867+International_Education_Costs!$K867</f>
        <v>4830</v>
      </c>
    </row>
    <row r="868" spans="1:14" x14ac:dyDescent="0.3">
      <c r="A868" s="4" t="s">
        <v>187</v>
      </c>
      <c r="B868" s="4" t="s">
        <v>785</v>
      </c>
      <c r="C868" s="4" t="s">
        <v>786</v>
      </c>
      <c r="D868" s="4" t="s">
        <v>40</v>
      </c>
      <c r="E868" s="4" t="s">
        <v>16</v>
      </c>
      <c r="F868" s="4">
        <v>2</v>
      </c>
      <c r="G868" s="5">
        <v>3800</v>
      </c>
      <c r="H868" s="24">
        <v>69.8</v>
      </c>
      <c r="I868" s="16">
        <v>900</v>
      </c>
      <c r="J868" s="5">
        <v>120</v>
      </c>
      <c r="K868" s="5">
        <v>700</v>
      </c>
      <c r="L868" s="5">
        <v>0.92</v>
      </c>
      <c r="M868" s="5">
        <f>(International_Education_Costs!$G868+International_Education_Costs!$I868+International_Education_Costs!$J868+International_Education_Costs!$K868)*International_Education_Costs!$L868</f>
        <v>5078.4000000000005</v>
      </c>
      <c r="N868" s="5">
        <f>International_Education_Costs!$G868+International_Education_Costs!$I868+International_Education_Costs!$J868+International_Education_Costs!$K868</f>
        <v>5520</v>
      </c>
    </row>
    <row r="869" spans="1:14" x14ac:dyDescent="0.3">
      <c r="A869" s="6" t="s">
        <v>44</v>
      </c>
      <c r="B869" s="6" t="s">
        <v>419</v>
      </c>
      <c r="C869" s="6" t="s">
        <v>420</v>
      </c>
      <c r="D869" s="6" t="s">
        <v>252</v>
      </c>
      <c r="E869" s="6" t="s">
        <v>122</v>
      </c>
      <c r="F869" s="6">
        <v>4</v>
      </c>
      <c r="G869" s="7">
        <v>4300</v>
      </c>
      <c r="H869" s="25">
        <v>72.099999999999994</v>
      </c>
      <c r="I869" s="17">
        <v>1000</v>
      </c>
      <c r="J869" s="7">
        <v>99</v>
      </c>
      <c r="K869" s="7">
        <v>850</v>
      </c>
      <c r="L869" s="7">
        <v>0.92</v>
      </c>
      <c r="M869" s="7">
        <f>(International_Education_Costs!$G869+International_Education_Costs!$I869+International_Education_Costs!$J869+International_Education_Costs!$K869)*International_Education_Costs!$L869</f>
        <v>5749.08</v>
      </c>
      <c r="N869" s="7">
        <f>International_Education_Costs!$G869+International_Education_Costs!$I869+International_Education_Costs!$J869+International_Education_Costs!$K869</f>
        <v>6249</v>
      </c>
    </row>
    <row r="870" spans="1:14" x14ac:dyDescent="0.3">
      <c r="A870" s="4" t="s">
        <v>168</v>
      </c>
      <c r="B870" s="4" t="s">
        <v>1325</v>
      </c>
      <c r="C870" s="4" t="s">
        <v>1326</v>
      </c>
      <c r="D870" s="4" t="s">
        <v>15</v>
      </c>
      <c r="E870" s="4" t="s">
        <v>16</v>
      </c>
      <c r="F870" s="4">
        <v>2</v>
      </c>
      <c r="G870" s="5">
        <v>7000</v>
      </c>
      <c r="H870" s="24">
        <v>49.5</v>
      </c>
      <c r="I870" s="16">
        <v>380</v>
      </c>
      <c r="J870" s="5">
        <v>120</v>
      </c>
      <c r="K870" s="5">
        <v>400</v>
      </c>
      <c r="L870" s="5">
        <v>4.6500000000000004</v>
      </c>
      <c r="M870" s="5">
        <f>(International_Education_Costs!$G870+International_Education_Costs!$I870+International_Education_Costs!$J870+International_Education_Costs!$K870)*International_Education_Costs!$L870</f>
        <v>36735</v>
      </c>
      <c r="N870" s="5">
        <f>International_Education_Costs!$G870+International_Education_Costs!$I870+International_Education_Costs!$J870+International_Education_Costs!$K870</f>
        <v>7900</v>
      </c>
    </row>
    <row r="871" spans="1:14" x14ac:dyDescent="0.3">
      <c r="A871" s="6" t="s">
        <v>376</v>
      </c>
      <c r="B871" s="6" t="s">
        <v>1327</v>
      </c>
      <c r="C871" s="6" t="s">
        <v>1328</v>
      </c>
      <c r="D871" s="6" t="s">
        <v>242</v>
      </c>
      <c r="E871" s="6" t="s">
        <v>75</v>
      </c>
      <c r="F871" s="6">
        <v>4</v>
      </c>
      <c r="G871" s="7">
        <v>4200</v>
      </c>
      <c r="H871" s="25">
        <v>65.400000000000006</v>
      </c>
      <c r="I871" s="17">
        <v>650</v>
      </c>
      <c r="J871" s="7">
        <v>200</v>
      </c>
      <c r="K871" s="7">
        <v>800</v>
      </c>
      <c r="L871" s="7">
        <v>3.75</v>
      </c>
      <c r="M871" s="7">
        <f>(International_Education_Costs!$G871+International_Education_Costs!$I871+International_Education_Costs!$J871+International_Education_Costs!$K871)*International_Education_Costs!$L871</f>
        <v>21937.5</v>
      </c>
      <c r="N871" s="7">
        <f>International_Education_Costs!$G871+International_Education_Costs!$I871+International_Education_Costs!$J871+International_Education_Costs!$K871</f>
        <v>5850</v>
      </c>
    </row>
    <row r="872" spans="1:14" x14ac:dyDescent="0.3">
      <c r="A872" s="4" t="s">
        <v>12</v>
      </c>
      <c r="B872" s="4" t="s">
        <v>124</v>
      </c>
      <c r="C872" s="4" t="s">
        <v>1329</v>
      </c>
      <c r="D872" s="4" t="s">
        <v>137</v>
      </c>
      <c r="E872" s="4" t="s">
        <v>122</v>
      </c>
      <c r="F872" s="4">
        <v>5</v>
      </c>
      <c r="G872" s="5">
        <v>56000</v>
      </c>
      <c r="H872" s="24">
        <v>82.1</v>
      </c>
      <c r="I872" s="16">
        <v>2100</v>
      </c>
      <c r="J872" s="5">
        <v>160</v>
      </c>
      <c r="K872" s="5">
        <v>1500</v>
      </c>
      <c r="L872" s="5">
        <v>1</v>
      </c>
      <c r="M872" s="5">
        <f>(International_Education_Costs!$G872+International_Education_Costs!$I872+International_Education_Costs!$J872+International_Education_Costs!$K872)*International_Education_Costs!$L872</f>
        <v>59760</v>
      </c>
      <c r="N872" s="5">
        <f>International_Education_Costs!$G872+International_Education_Costs!$I872+International_Education_Costs!$J872+International_Education_Costs!$K872</f>
        <v>59760</v>
      </c>
    </row>
    <row r="873" spans="1:14" x14ac:dyDescent="0.3">
      <c r="A873" s="6" t="s">
        <v>17</v>
      </c>
      <c r="B873" s="6" t="s">
        <v>530</v>
      </c>
      <c r="C873" s="6" t="s">
        <v>531</v>
      </c>
      <c r="D873" s="6" t="s">
        <v>20</v>
      </c>
      <c r="E873" s="6" t="s">
        <v>16</v>
      </c>
      <c r="F873" s="6">
        <v>2</v>
      </c>
      <c r="G873" s="7">
        <v>38000</v>
      </c>
      <c r="H873" s="25">
        <v>67.8</v>
      </c>
      <c r="I873" s="17">
        <v>1100</v>
      </c>
      <c r="J873" s="7">
        <v>485</v>
      </c>
      <c r="K873" s="7">
        <v>800</v>
      </c>
      <c r="L873" s="7">
        <v>0.79</v>
      </c>
      <c r="M873" s="7">
        <f>(International_Education_Costs!$G873+International_Education_Costs!$I873+International_Education_Costs!$J873+International_Education_Costs!$K873)*International_Education_Costs!$L873</f>
        <v>31904.15</v>
      </c>
      <c r="N873" s="7">
        <f>International_Education_Costs!$G873+International_Education_Costs!$I873+International_Education_Costs!$J873+International_Education_Costs!$K873</f>
        <v>40385</v>
      </c>
    </row>
    <row r="874" spans="1:14" x14ac:dyDescent="0.3">
      <c r="A874" s="4" t="s">
        <v>184</v>
      </c>
      <c r="B874" s="4" t="s">
        <v>794</v>
      </c>
      <c r="C874" s="4" t="s">
        <v>795</v>
      </c>
      <c r="D874" s="4" t="s">
        <v>63</v>
      </c>
      <c r="E874" s="4" t="s">
        <v>16</v>
      </c>
      <c r="F874" s="4">
        <v>2</v>
      </c>
      <c r="G874" s="5">
        <v>3000</v>
      </c>
      <c r="H874" s="24">
        <v>65.400000000000006</v>
      </c>
      <c r="I874" s="16">
        <v>750</v>
      </c>
      <c r="J874" s="5">
        <v>80</v>
      </c>
      <c r="K874" s="5">
        <v>750</v>
      </c>
      <c r="L874" s="5">
        <v>0.92</v>
      </c>
      <c r="M874" s="5">
        <f>(International_Education_Costs!$G874+International_Education_Costs!$I874+International_Education_Costs!$J874+International_Education_Costs!$K874)*International_Education_Costs!$L874</f>
        <v>4213.6000000000004</v>
      </c>
      <c r="N874" s="5">
        <f>International_Education_Costs!$G874+International_Education_Costs!$I874+International_Education_Costs!$J874+International_Education_Costs!$K874</f>
        <v>4580</v>
      </c>
    </row>
    <row r="875" spans="1:14" x14ac:dyDescent="0.3">
      <c r="A875" s="6" t="s">
        <v>187</v>
      </c>
      <c r="B875" s="6" t="s">
        <v>796</v>
      </c>
      <c r="C875" s="6" t="s">
        <v>797</v>
      </c>
      <c r="D875" s="6" t="s">
        <v>216</v>
      </c>
      <c r="E875" s="6" t="s">
        <v>122</v>
      </c>
      <c r="F875" s="6">
        <v>4</v>
      </c>
      <c r="G875" s="7">
        <v>3600</v>
      </c>
      <c r="H875" s="25">
        <v>70.5</v>
      </c>
      <c r="I875" s="17">
        <v>950</v>
      </c>
      <c r="J875" s="7">
        <v>120</v>
      </c>
      <c r="K875" s="7">
        <v>700</v>
      </c>
      <c r="L875" s="7">
        <v>0.92</v>
      </c>
      <c r="M875" s="7">
        <f>(International_Education_Costs!$G875+International_Education_Costs!$I875+International_Education_Costs!$J875+International_Education_Costs!$K875)*International_Education_Costs!$L875</f>
        <v>4940.4000000000005</v>
      </c>
      <c r="N875" s="7">
        <f>International_Education_Costs!$G875+International_Education_Costs!$I875+International_Education_Costs!$J875+International_Education_Costs!$K875</f>
        <v>5370</v>
      </c>
    </row>
    <row r="876" spans="1:14" x14ac:dyDescent="0.3">
      <c r="A876" s="4" t="s">
        <v>44</v>
      </c>
      <c r="B876" s="4" t="s">
        <v>1330</v>
      </c>
      <c r="C876" s="4" t="s">
        <v>1331</v>
      </c>
      <c r="D876" s="4" t="s">
        <v>40</v>
      </c>
      <c r="E876" s="4" t="s">
        <v>16</v>
      </c>
      <c r="F876" s="4">
        <v>2</v>
      </c>
      <c r="G876" s="5">
        <v>4100</v>
      </c>
      <c r="H876" s="24">
        <v>73.5</v>
      </c>
      <c r="I876" s="16">
        <v>1100</v>
      </c>
      <c r="J876" s="5">
        <v>99</v>
      </c>
      <c r="K876" s="5">
        <v>850</v>
      </c>
      <c r="L876" s="5">
        <v>0.92</v>
      </c>
      <c r="M876" s="5">
        <f>(International_Education_Costs!$G876+International_Education_Costs!$I876+International_Education_Costs!$J876+International_Education_Costs!$K876)*International_Education_Costs!$L876</f>
        <v>5657.08</v>
      </c>
      <c r="N876" s="5">
        <f>International_Education_Costs!$G876+International_Education_Costs!$I876+International_Education_Costs!$J876+International_Education_Costs!$K876</f>
        <v>6149</v>
      </c>
    </row>
    <row r="877" spans="1:14" x14ac:dyDescent="0.3">
      <c r="A877" s="6" t="s">
        <v>168</v>
      </c>
      <c r="B877" s="6" t="s">
        <v>1332</v>
      </c>
      <c r="C877" s="6" t="s">
        <v>1333</v>
      </c>
      <c r="D877" s="6" t="s">
        <v>71</v>
      </c>
      <c r="E877" s="6" t="s">
        <v>75</v>
      </c>
      <c r="F877" s="6">
        <v>3</v>
      </c>
      <c r="G877" s="7">
        <v>7800</v>
      </c>
      <c r="H877" s="25">
        <v>53.2</v>
      </c>
      <c r="I877" s="17">
        <v>450</v>
      </c>
      <c r="J877" s="7">
        <v>120</v>
      </c>
      <c r="K877" s="7">
        <v>400</v>
      </c>
      <c r="L877" s="7">
        <v>4.6500000000000004</v>
      </c>
      <c r="M877" s="7">
        <f>(International_Education_Costs!$G877+International_Education_Costs!$I877+International_Education_Costs!$J877+International_Education_Costs!$K877)*International_Education_Costs!$L877</f>
        <v>40780.5</v>
      </c>
      <c r="N877" s="7">
        <f>International_Education_Costs!$G877+International_Education_Costs!$I877+International_Education_Costs!$J877+International_Education_Costs!$K877</f>
        <v>8770</v>
      </c>
    </row>
    <row r="878" spans="1:14" x14ac:dyDescent="0.3">
      <c r="A878" s="4" t="s">
        <v>376</v>
      </c>
      <c r="B878" s="4" t="s">
        <v>1334</v>
      </c>
      <c r="C878" s="4" t="s">
        <v>1335</v>
      </c>
      <c r="D878" s="4" t="s">
        <v>15</v>
      </c>
      <c r="E878" s="4" t="s">
        <v>16</v>
      </c>
      <c r="F878" s="4">
        <v>2</v>
      </c>
      <c r="G878" s="5">
        <v>4600</v>
      </c>
      <c r="H878" s="24">
        <v>67.8</v>
      </c>
      <c r="I878" s="16">
        <v>680</v>
      </c>
      <c r="J878" s="5">
        <v>200</v>
      </c>
      <c r="K878" s="5">
        <v>800</v>
      </c>
      <c r="L878" s="5">
        <v>3.75</v>
      </c>
      <c r="M878" s="5">
        <f>(International_Education_Costs!$G878+International_Education_Costs!$I878+International_Education_Costs!$J878+International_Education_Costs!$K878)*International_Education_Costs!$L878</f>
        <v>23550</v>
      </c>
      <c r="N878" s="5">
        <f>International_Education_Costs!$G878+International_Education_Costs!$I878+International_Education_Costs!$J878+International_Education_Costs!$K878</f>
        <v>6280</v>
      </c>
    </row>
    <row r="879" spans="1:14" x14ac:dyDescent="0.3">
      <c r="A879" s="6" t="s">
        <v>12</v>
      </c>
      <c r="B879" s="6" t="s">
        <v>358</v>
      </c>
      <c r="C879" s="6" t="s">
        <v>359</v>
      </c>
      <c r="D879" s="6" t="s">
        <v>20</v>
      </c>
      <c r="E879" s="6" t="s">
        <v>16</v>
      </c>
      <c r="F879" s="6">
        <v>2</v>
      </c>
      <c r="G879" s="7">
        <v>62000</v>
      </c>
      <c r="H879" s="25">
        <v>100</v>
      </c>
      <c r="I879" s="17">
        <v>2500</v>
      </c>
      <c r="J879" s="7">
        <v>160</v>
      </c>
      <c r="K879" s="7">
        <v>1500</v>
      </c>
      <c r="L879" s="7">
        <v>1</v>
      </c>
      <c r="M879" s="7">
        <f>(International_Education_Costs!$G879+International_Education_Costs!$I879+International_Education_Costs!$J879+International_Education_Costs!$K879)*International_Education_Costs!$L879</f>
        <v>66160</v>
      </c>
      <c r="N879" s="7">
        <f>International_Education_Costs!$G879+International_Education_Costs!$I879+International_Education_Costs!$J879+International_Education_Costs!$K879</f>
        <v>66160</v>
      </c>
    </row>
    <row r="880" spans="1:14" x14ac:dyDescent="0.3">
      <c r="A880" s="4" t="s">
        <v>17</v>
      </c>
      <c r="B880" s="4" t="s">
        <v>173</v>
      </c>
      <c r="C880" s="4" t="s">
        <v>174</v>
      </c>
      <c r="D880" s="4" t="s">
        <v>208</v>
      </c>
      <c r="E880" s="4" t="s">
        <v>122</v>
      </c>
      <c r="F880" s="4">
        <v>4</v>
      </c>
      <c r="G880" s="5">
        <v>35000</v>
      </c>
      <c r="H880" s="24">
        <v>65.400000000000006</v>
      </c>
      <c r="I880" s="16">
        <v>900</v>
      </c>
      <c r="J880" s="5">
        <v>485</v>
      </c>
      <c r="K880" s="5">
        <v>800</v>
      </c>
      <c r="L880" s="5">
        <v>0.79</v>
      </c>
      <c r="M880" s="5">
        <f>(International_Education_Costs!$G880+International_Education_Costs!$I880+International_Education_Costs!$J880+International_Education_Costs!$K880)*International_Education_Costs!$L880</f>
        <v>29376.15</v>
      </c>
      <c r="N880" s="5">
        <f>International_Education_Costs!$G880+International_Education_Costs!$I880+International_Education_Costs!$J880+International_Education_Costs!$K880</f>
        <v>37185</v>
      </c>
    </row>
    <row r="881" spans="1:14" x14ac:dyDescent="0.3">
      <c r="A881" s="6" t="s">
        <v>184</v>
      </c>
      <c r="B881" s="6" t="s">
        <v>814</v>
      </c>
      <c r="C881" s="6" t="s">
        <v>1336</v>
      </c>
      <c r="D881" s="6" t="s">
        <v>15</v>
      </c>
      <c r="E881" s="6" t="s">
        <v>75</v>
      </c>
      <c r="F881" s="6">
        <v>3</v>
      </c>
      <c r="G881" s="7">
        <v>2800</v>
      </c>
      <c r="H881" s="25">
        <v>64.5</v>
      </c>
      <c r="I881" s="17">
        <v>700</v>
      </c>
      <c r="J881" s="7">
        <v>80</v>
      </c>
      <c r="K881" s="7">
        <v>750</v>
      </c>
      <c r="L881" s="7">
        <v>0.92</v>
      </c>
      <c r="M881" s="7">
        <f>(International_Education_Costs!$G881+International_Education_Costs!$I881+International_Education_Costs!$J881+International_Education_Costs!$K881)*International_Education_Costs!$L881</f>
        <v>3983.6000000000004</v>
      </c>
      <c r="N881" s="7">
        <f>International_Education_Costs!$G881+International_Education_Costs!$I881+International_Education_Costs!$J881+International_Education_Costs!$K881</f>
        <v>4330</v>
      </c>
    </row>
    <row r="882" spans="1:14" x14ac:dyDescent="0.3">
      <c r="A882" s="4" t="s">
        <v>187</v>
      </c>
      <c r="B882" s="4" t="s">
        <v>806</v>
      </c>
      <c r="C882" s="4" t="s">
        <v>807</v>
      </c>
      <c r="D882" s="4" t="s">
        <v>252</v>
      </c>
      <c r="E882" s="4" t="s">
        <v>16</v>
      </c>
      <c r="F882" s="4">
        <v>2</v>
      </c>
      <c r="G882" s="5">
        <v>3500</v>
      </c>
      <c r="H882" s="24">
        <v>71.2</v>
      </c>
      <c r="I882" s="16">
        <v>1000</v>
      </c>
      <c r="J882" s="5">
        <v>120</v>
      </c>
      <c r="K882" s="5">
        <v>700</v>
      </c>
      <c r="L882" s="5">
        <v>0.92</v>
      </c>
      <c r="M882" s="5">
        <f>(International_Education_Costs!$G882+International_Education_Costs!$I882+International_Education_Costs!$J882+International_Education_Costs!$K882)*International_Education_Costs!$L882</f>
        <v>4894.4000000000005</v>
      </c>
      <c r="N882" s="5">
        <f>International_Education_Costs!$G882+International_Education_Costs!$I882+International_Education_Costs!$J882+International_Education_Costs!$K882</f>
        <v>5320</v>
      </c>
    </row>
    <row r="883" spans="1:14" x14ac:dyDescent="0.3">
      <c r="A883" s="6" t="s">
        <v>44</v>
      </c>
      <c r="B883" s="6" t="s">
        <v>427</v>
      </c>
      <c r="C883" s="6" t="s">
        <v>428</v>
      </c>
      <c r="D883" s="6" t="s">
        <v>216</v>
      </c>
      <c r="E883" s="6" t="s">
        <v>122</v>
      </c>
      <c r="F883" s="6">
        <v>4</v>
      </c>
      <c r="G883" s="7">
        <v>4300</v>
      </c>
      <c r="H883" s="25">
        <v>72.099999999999994</v>
      </c>
      <c r="I883" s="17">
        <v>1000</v>
      </c>
      <c r="J883" s="7">
        <v>99</v>
      </c>
      <c r="K883" s="7">
        <v>850</v>
      </c>
      <c r="L883" s="7">
        <v>0.92</v>
      </c>
      <c r="M883" s="7">
        <f>(International_Education_Costs!$G883+International_Education_Costs!$I883+International_Education_Costs!$J883+International_Education_Costs!$K883)*International_Education_Costs!$L883</f>
        <v>5749.08</v>
      </c>
      <c r="N883" s="7">
        <f>International_Education_Costs!$G883+International_Education_Costs!$I883+International_Education_Costs!$J883+International_Education_Costs!$K883</f>
        <v>6249</v>
      </c>
    </row>
    <row r="884" spans="1:14" x14ac:dyDescent="0.3">
      <c r="A884" s="4" t="s">
        <v>168</v>
      </c>
      <c r="B884" s="4" t="s">
        <v>1337</v>
      </c>
      <c r="C884" s="4" t="s">
        <v>1338</v>
      </c>
      <c r="D884" s="4" t="s">
        <v>40</v>
      </c>
      <c r="E884" s="4" t="s">
        <v>16</v>
      </c>
      <c r="F884" s="4">
        <v>2</v>
      </c>
      <c r="G884" s="5">
        <v>7200</v>
      </c>
      <c r="H884" s="24">
        <v>51.5</v>
      </c>
      <c r="I884" s="16">
        <v>420</v>
      </c>
      <c r="J884" s="5">
        <v>120</v>
      </c>
      <c r="K884" s="5">
        <v>400</v>
      </c>
      <c r="L884" s="5">
        <v>4.6500000000000004</v>
      </c>
      <c r="M884" s="5">
        <f>(International_Education_Costs!$G884+International_Education_Costs!$I884+International_Education_Costs!$J884+International_Education_Costs!$K884)*International_Education_Costs!$L884</f>
        <v>37851</v>
      </c>
      <c r="N884" s="5">
        <f>International_Education_Costs!$G884+International_Education_Costs!$I884+International_Education_Costs!$J884+International_Education_Costs!$K884</f>
        <v>8140</v>
      </c>
    </row>
    <row r="885" spans="1:14" x14ac:dyDescent="0.3">
      <c r="A885" s="6" t="s">
        <v>376</v>
      </c>
      <c r="B885" s="6" t="s">
        <v>1339</v>
      </c>
      <c r="C885" s="6" t="s">
        <v>1340</v>
      </c>
      <c r="D885" s="6" t="s">
        <v>242</v>
      </c>
      <c r="E885" s="6" t="s">
        <v>16</v>
      </c>
      <c r="F885" s="6">
        <v>2</v>
      </c>
      <c r="G885" s="7">
        <v>4400</v>
      </c>
      <c r="H885" s="25">
        <v>64.5</v>
      </c>
      <c r="I885" s="17">
        <v>600</v>
      </c>
      <c r="J885" s="7">
        <v>200</v>
      </c>
      <c r="K885" s="7">
        <v>800</v>
      </c>
      <c r="L885" s="7">
        <v>3.75</v>
      </c>
      <c r="M885" s="7">
        <f>(International_Education_Costs!$G885+International_Education_Costs!$I885+International_Education_Costs!$J885+International_Education_Costs!$K885)*International_Education_Costs!$L885</f>
        <v>22500</v>
      </c>
      <c r="N885" s="7">
        <f>International_Education_Costs!$G885+International_Education_Costs!$I885+International_Education_Costs!$J885+International_Education_Costs!$K885</f>
        <v>6000</v>
      </c>
    </row>
    <row r="886" spans="1:14" x14ac:dyDescent="0.3">
      <c r="A886" s="4" t="s">
        <v>12</v>
      </c>
      <c r="B886" s="4" t="s">
        <v>511</v>
      </c>
      <c r="C886" s="4" t="s">
        <v>512</v>
      </c>
      <c r="D886" s="4" t="s">
        <v>63</v>
      </c>
      <c r="E886" s="4" t="s">
        <v>122</v>
      </c>
      <c r="F886" s="4">
        <v>5</v>
      </c>
      <c r="G886" s="5">
        <v>52000</v>
      </c>
      <c r="H886" s="24">
        <v>79.8</v>
      </c>
      <c r="I886" s="16">
        <v>2200</v>
      </c>
      <c r="J886" s="5">
        <v>160</v>
      </c>
      <c r="K886" s="5">
        <v>1500</v>
      </c>
      <c r="L886" s="5">
        <v>1</v>
      </c>
      <c r="M886" s="5">
        <f>(International_Education_Costs!$G886+International_Education_Costs!$I886+International_Education_Costs!$J886+International_Education_Costs!$K886)*International_Education_Costs!$L886</f>
        <v>55860</v>
      </c>
      <c r="N886" s="5">
        <f>International_Education_Costs!$G886+International_Education_Costs!$I886+International_Education_Costs!$J886+International_Education_Costs!$K886</f>
        <v>55860</v>
      </c>
    </row>
    <row r="887" spans="1:14" x14ac:dyDescent="0.3">
      <c r="A887" s="6" t="s">
        <v>17</v>
      </c>
      <c r="B887" s="6" t="s">
        <v>97</v>
      </c>
      <c r="C887" s="6" t="s">
        <v>98</v>
      </c>
      <c r="D887" s="6" t="s">
        <v>71</v>
      </c>
      <c r="E887" s="6" t="s">
        <v>16</v>
      </c>
      <c r="F887" s="6">
        <v>2</v>
      </c>
      <c r="G887" s="7">
        <v>36000</v>
      </c>
      <c r="H887" s="25">
        <v>68.900000000000006</v>
      </c>
      <c r="I887" s="17">
        <v>1200</v>
      </c>
      <c r="J887" s="7">
        <v>485</v>
      </c>
      <c r="K887" s="7">
        <v>800</v>
      </c>
      <c r="L887" s="7">
        <v>0.79</v>
      </c>
      <c r="M887" s="7">
        <f>(International_Education_Costs!$G887+International_Education_Costs!$I887+International_Education_Costs!$J887+International_Education_Costs!$K887)*International_Education_Costs!$L887</f>
        <v>30403.15</v>
      </c>
      <c r="N887" s="7">
        <f>International_Education_Costs!$G887+International_Education_Costs!$I887+International_Education_Costs!$J887+International_Education_Costs!$K887</f>
        <v>38485</v>
      </c>
    </row>
    <row r="888" spans="1:14" x14ac:dyDescent="0.3">
      <c r="A888" s="4" t="s">
        <v>184</v>
      </c>
      <c r="B888" s="4" t="s">
        <v>804</v>
      </c>
      <c r="C888" s="4" t="s">
        <v>805</v>
      </c>
      <c r="D888" s="4" t="s">
        <v>223</v>
      </c>
      <c r="E888" s="4" t="s">
        <v>16</v>
      </c>
      <c r="F888" s="4">
        <v>2</v>
      </c>
      <c r="G888" s="5">
        <v>3400</v>
      </c>
      <c r="H888" s="24">
        <v>67.8</v>
      </c>
      <c r="I888" s="16">
        <v>850</v>
      </c>
      <c r="J888" s="5">
        <v>80</v>
      </c>
      <c r="K888" s="5">
        <v>750</v>
      </c>
      <c r="L888" s="5">
        <v>0.92</v>
      </c>
      <c r="M888" s="5">
        <f>(International_Education_Costs!$G888+International_Education_Costs!$I888+International_Education_Costs!$J888+International_Education_Costs!$K888)*International_Education_Costs!$L888</f>
        <v>4673.6000000000004</v>
      </c>
      <c r="N888" s="5">
        <f>International_Education_Costs!$G888+International_Education_Costs!$I888+International_Education_Costs!$J888+International_Education_Costs!$K888</f>
        <v>5080</v>
      </c>
    </row>
    <row r="889" spans="1:14" x14ac:dyDescent="0.3">
      <c r="A889" s="6" t="s">
        <v>187</v>
      </c>
      <c r="B889" s="6" t="s">
        <v>816</v>
      </c>
      <c r="C889" s="6" t="s">
        <v>817</v>
      </c>
      <c r="D889" s="6" t="s">
        <v>15</v>
      </c>
      <c r="E889" s="6" t="s">
        <v>75</v>
      </c>
      <c r="F889" s="6">
        <v>3</v>
      </c>
      <c r="G889" s="7">
        <v>3200</v>
      </c>
      <c r="H889" s="25">
        <v>67.8</v>
      </c>
      <c r="I889" s="17">
        <v>800</v>
      </c>
      <c r="J889" s="7">
        <v>120</v>
      </c>
      <c r="K889" s="7">
        <v>700</v>
      </c>
      <c r="L889" s="7">
        <v>0.92</v>
      </c>
      <c r="M889" s="7">
        <f>(International_Education_Costs!$G889+International_Education_Costs!$I889+International_Education_Costs!$J889+International_Education_Costs!$K889)*International_Education_Costs!$L889</f>
        <v>4434.4000000000005</v>
      </c>
      <c r="N889" s="7">
        <f>International_Education_Costs!$G889+International_Education_Costs!$I889+International_Education_Costs!$J889+International_Education_Costs!$K889</f>
        <v>4820</v>
      </c>
    </row>
    <row r="890" spans="1:14" x14ac:dyDescent="0.3">
      <c r="A890" s="4" t="s">
        <v>44</v>
      </c>
      <c r="B890" s="4" t="s">
        <v>425</v>
      </c>
      <c r="C890" s="4" t="s">
        <v>650</v>
      </c>
      <c r="D890" s="4" t="s">
        <v>20</v>
      </c>
      <c r="E890" s="4" t="s">
        <v>16</v>
      </c>
      <c r="F890" s="4">
        <v>2</v>
      </c>
      <c r="G890" s="5">
        <v>4100</v>
      </c>
      <c r="H890" s="24">
        <v>76.5</v>
      </c>
      <c r="I890" s="16">
        <v>1300</v>
      </c>
      <c r="J890" s="5">
        <v>99</v>
      </c>
      <c r="K890" s="5">
        <v>850</v>
      </c>
      <c r="L890" s="5">
        <v>0.92</v>
      </c>
      <c r="M890" s="5">
        <f>(International_Education_Costs!$G890+International_Education_Costs!$I890+International_Education_Costs!$J890+International_Education_Costs!$K890)*International_Education_Costs!$L890</f>
        <v>5841.08</v>
      </c>
      <c r="N890" s="5">
        <f>International_Education_Costs!$G890+International_Education_Costs!$I890+International_Education_Costs!$J890+International_Education_Costs!$K890</f>
        <v>6349</v>
      </c>
    </row>
    <row r="891" spans="1:14" x14ac:dyDescent="0.3">
      <c r="A891" s="6" t="s">
        <v>168</v>
      </c>
      <c r="B891" s="6" t="s">
        <v>1341</v>
      </c>
      <c r="C891" s="6" t="s">
        <v>1342</v>
      </c>
      <c r="D891" s="6" t="s">
        <v>208</v>
      </c>
      <c r="E891" s="6" t="s">
        <v>122</v>
      </c>
      <c r="F891" s="6">
        <v>4</v>
      </c>
      <c r="G891" s="7">
        <v>7500</v>
      </c>
      <c r="H891" s="25">
        <v>50.2</v>
      </c>
      <c r="I891" s="17">
        <v>400</v>
      </c>
      <c r="J891" s="7">
        <v>120</v>
      </c>
      <c r="K891" s="7">
        <v>400</v>
      </c>
      <c r="L891" s="7">
        <v>4.6500000000000004</v>
      </c>
      <c r="M891" s="7">
        <f>(International_Education_Costs!$G891+International_Education_Costs!$I891+International_Education_Costs!$J891+International_Education_Costs!$K891)*International_Education_Costs!$L891</f>
        <v>39153</v>
      </c>
      <c r="N891" s="7">
        <f>International_Education_Costs!$G891+International_Education_Costs!$I891+International_Education_Costs!$J891+International_Education_Costs!$K891</f>
        <v>8420</v>
      </c>
    </row>
    <row r="892" spans="1:14" x14ac:dyDescent="0.3">
      <c r="A892" s="4" t="s">
        <v>376</v>
      </c>
      <c r="B892" s="4" t="s">
        <v>1343</v>
      </c>
      <c r="C892" s="4" t="s">
        <v>1344</v>
      </c>
      <c r="D892" s="4" t="s">
        <v>63</v>
      </c>
      <c r="E892" s="4" t="s">
        <v>75</v>
      </c>
      <c r="F892" s="4">
        <v>4</v>
      </c>
      <c r="G892" s="5">
        <v>4100</v>
      </c>
      <c r="H892" s="24">
        <v>63.2</v>
      </c>
      <c r="I892" s="16">
        <v>580</v>
      </c>
      <c r="J892" s="5">
        <v>200</v>
      </c>
      <c r="K892" s="5">
        <v>800</v>
      </c>
      <c r="L892" s="5">
        <v>3.75</v>
      </c>
      <c r="M892" s="5">
        <f>(International_Education_Costs!$G892+International_Education_Costs!$I892+International_Education_Costs!$J892+International_Education_Costs!$K892)*International_Education_Costs!$L892</f>
        <v>21300</v>
      </c>
      <c r="N892" s="5">
        <f>International_Education_Costs!$G892+International_Education_Costs!$I892+International_Education_Costs!$J892+International_Education_Costs!$K892</f>
        <v>5680</v>
      </c>
    </row>
    <row r="893" spans="1:14" x14ac:dyDescent="0.3">
      <c r="A893" s="6" t="s">
        <v>12</v>
      </c>
      <c r="B893" s="6" t="s">
        <v>272</v>
      </c>
      <c r="C893" s="6" t="s">
        <v>273</v>
      </c>
      <c r="D893" s="6" t="s">
        <v>40</v>
      </c>
      <c r="E893" s="6" t="s">
        <v>16</v>
      </c>
      <c r="F893" s="6">
        <v>2</v>
      </c>
      <c r="G893" s="7">
        <v>58000</v>
      </c>
      <c r="H893" s="25">
        <v>84.1</v>
      </c>
      <c r="I893" s="17">
        <v>1900</v>
      </c>
      <c r="J893" s="7">
        <v>160</v>
      </c>
      <c r="K893" s="7">
        <v>1500</v>
      </c>
      <c r="L893" s="7">
        <v>1</v>
      </c>
      <c r="M893" s="7">
        <f>(International_Education_Costs!$G893+International_Education_Costs!$I893+International_Education_Costs!$J893+International_Education_Costs!$K893)*International_Education_Costs!$L893</f>
        <v>61560</v>
      </c>
      <c r="N893" s="7">
        <f>International_Education_Costs!$G893+International_Education_Costs!$I893+International_Education_Costs!$J893+International_Education_Costs!$K893</f>
        <v>61560</v>
      </c>
    </row>
    <row r="894" spans="1:14" x14ac:dyDescent="0.3">
      <c r="A894" s="4" t="s">
        <v>17</v>
      </c>
      <c r="B894" s="4" t="s">
        <v>154</v>
      </c>
      <c r="C894" s="4" t="s">
        <v>155</v>
      </c>
      <c r="D894" s="4" t="s">
        <v>252</v>
      </c>
      <c r="E894" s="4" t="s">
        <v>122</v>
      </c>
      <c r="F894" s="4">
        <v>4</v>
      </c>
      <c r="G894" s="5">
        <v>34000</v>
      </c>
      <c r="H894" s="24">
        <v>64.5</v>
      </c>
      <c r="I894" s="16">
        <v>950</v>
      </c>
      <c r="J894" s="5">
        <v>485</v>
      </c>
      <c r="K894" s="5">
        <v>800</v>
      </c>
      <c r="L894" s="5">
        <v>0.79</v>
      </c>
      <c r="M894" s="5">
        <f>(International_Education_Costs!$G894+International_Education_Costs!$I894+International_Education_Costs!$J894+International_Education_Costs!$K894)*International_Education_Costs!$L894</f>
        <v>28625.65</v>
      </c>
      <c r="N894" s="5">
        <f>International_Education_Costs!$G894+International_Education_Costs!$I894+International_Education_Costs!$J894+International_Education_Costs!$K894</f>
        <v>36235</v>
      </c>
    </row>
    <row r="895" spans="1:14" x14ac:dyDescent="0.3">
      <c r="A895" s="6" t="s">
        <v>184</v>
      </c>
      <c r="B895" s="6" t="s">
        <v>834</v>
      </c>
      <c r="C895" s="6" t="s">
        <v>835</v>
      </c>
      <c r="D895" s="6" t="s">
        <v>216</v>
      </c>
      <c r="E895" s="6" t="s">
        <v>16</v>
      </c>
      <c r="F895" s="6">
        <v>2</v>
      </c>
      <c r="G895" s="7">
        <v>3100</v>
      </c>
      <c r="H895" s="25">
        <v>62.1</v>
      </c>
      <c r="I895" s="17">
        <v>600</v>
      </c>
      <c r="J895" s="7">
        <v>80</v>
      </c>
      <c r="K895" s="7">
        <v>750</v>
      </c>
      <c r="L895" s="7">
        <v>0.92</v>
      </c>
      <c r="M895" s="7">
        <f>(International_Education_Costs!$G895+International_Education_Costs!$I895+International_Education_Costs!$J895+International_Education_Costs!$K895)*International_Education_Costs!$L895</f>
        <v>4167.6000000000004</v>
      </c>
      <c r="N895" s="7">
        <f>International_Education_Costs!$G895+International_Education_Costs!$I895+International_Education_Costs!$J895+International_Education_Costs!$K895</f>
        <v>4530</v>
      </c>
    </row>
    <row r="896" spans="1:14" x14ac:dyDescent="0.3">
      <c r="A896" s="4" t="s">
        <v>187</v>
      </c>
      <c r="B896" s="4" t="s">
        <v>826</v>
      </c>
      <c r="C896" s="4" t="s">
        <v>827</v>
      </c>
      <c r="D896" s="4" t="s">
        <v>242</v>
      </c>
      <c r="E896" s="4" t="s">
        <v>16</v>
      </c>
      <c r="F896" s="4">
        <v>2</v>
      </c>
      <c r="G896" s="5">
        <v>3300</v>
      </c>
      <c r="H896" s="24">
        <v>68.900000000000006</v>
      </c>
      <c r="I896" s="16">
        <v>850</v>
      </c>
      <c r="J896" s="5">
        <v>120</v>
      </c>
      <c r="K896" s="5">
        <v>700</v>
      </c>
      <c r="L896" s="5">
        <v>0.92</v>
      </c>
      <c r="M896" s="5">
        <f>(International_Education_Costs!$G896+International_Education_Costs!$I896+International_Education_Costs!$J896+International_Education_Costs!$K896)*International_Education_Costs!$L896</f>
        <v>4572.4000000000005</v>
      </c>
      <c r="N896" s="5">
        <f>International_Education_Costs!$G896+International_Education_Costs!$I896+International_Education_Costs!$J896+International_Education_Costs!$K896</f>
        <v>4970</v>
      </c>
    </row>
    <row r="897" spans="1:14" x14ac:dyDescent="0.3">
      <c r="A897" s="6" t="s">
        <v>44</v>
      </c>
      <c r="B897" s="6" t="s">
        <v>429</v>
      </c>
      <c r="C897" s="6" t="s">
        <v>656</v>
      </c>
      <c r="D897" s="6" t="s">
        <v>15</v>
      </c>
      <c r="E897" s="6" t="s">
        <v>75</v>
      </c>
      <c r="F897" s="6">
        <v>3</v>
      </c>
      <c r="G897" s="7">
        <v>4200</v>
      </c>
      <c r="H897" s="25">
        <v>69.8</v>
      </c>
      <c r="I897" s="17">
        <v>950</v>
      </c>
      <c r="J897" s="7">
        <v>99</v>
      </c>
      <c r="K897" s="7">
        <v>850</v>
      </c>
      <c r="L897" s="7">
        <v>0.92</v>
      </c>
      <c r="M897" s="7">
        <f>(International_Education_Costs!$G897+International_Education_Costs!$I897+International_Education_Costs!$J897+International_Education_Costs!$K897)*International_Education_Costs!$L897</f>
        <v>5611.08</v>
      </c>
      <c r="N897" s="7">
        <f>International_Education_Costs!$G897+International_Education_Costs!$I897+International_Education_Costs!$J897+International_Education_Costs!$K897</f>
        <v>6099</v>
      </c>
    </row>
    <row r="898" spans="1:14" x14ac:dyDescent="0.3">
      <c r="A898" s="4" t="s">
        <v>168</v>
      </c>
      <c r="B898" s="4" t="s">
        <v>1345</v>
      </c>
      <c r="C898" s="4" t="s">
        <v>1346</v>
      </c>
      <c r="D898" s="4" t="s">
        <v>71</v>
      </c>
      <c r="E898" s="4" t="s">
        <v>16</v>
      </c>
      <c r="F898" s="4">
        <v>2</v>
      </c>
      <c r="G898" s="5">
        <v>7100</v>
      </c>
      <c r="H898" s="24">
        <v>51.8</v>
      </c>
      <c r="I898" s="16">
        <v>430</v>
      </c>
      <c r="J898" s="5">
        <v>120</v>
      </c>
      <c r="K898" s="5">
        <v>400</v>
      </c>
      <c r="L898" s="5">
        <v>4.6500000000000004</v>
      </c>
      <c r="M898" s="5">
        <f>(International_Education_Costs!$G898+International_Education_Costs!$I898+International_Education_Costs!$J898+International_Education_Costs!$K898)*International_Education_Costs!$L898</f>
        <v>37432.5</v>
      </c>
      <c r="N898" s="5">
        <f>International_Education_Costs!$G898+International_Education_Costs!$I898+International_Education_Costs!$J898+International_Education_Costs!$K898</f>
        <v>8050</v>
      </c>
    </row>
    <row r="899" spans="1:14" x14ac:dyDescent="0.3">
      <c r="A899" s="6" t="s">
        <v>376</v>
      </c>
      <c r="B899" s="6" t="s">
        <v>1347</v>
      </c>
      <c r="C899" s="6" t="s">
        <v>1348</v>
      </c>
      <c r="D899" s="6" t="s">
        <v>223</v>
      </c>
      <c r="E899" s="6" t="s">
        <v>122</v>
      </c>
      <c r="F899" s="6">
        <v>4</v>
      </c>
      <c r="G899" s="7">
        <v>4300</v>
      </c>
      <c r="H899" s="25">
        <v>65.8</v>
      </c>
      <c r="I899" s="17">
        <v>650</v>
      </c>
      <c r="J899" s="7">
        <v>200</v>
      </c>
      <c r="K899" s="7">
        <v>800</v>
      </c>
      <c r="L899" s="7">
        <v>3.75</v>
      </c>
      <c r="M899" s="7">
        <f>(International_Education_Costs!$G899+International_Education_Costs!$I899+International_Education_Costs!$J899+International_Education_Costs!$K899)*International_Education_Costs!$L899</f>
        <v>22312.5</v>
      </c>
      <c r="N899" s="7">
        <f>International_Education_Costs!$G899+International_Education_Costs!$I899+International_Education_Costs!$J899+International_Education_Costs!$K899</f>
        <v>5950</v>
      </c>
    </row>
    <row r="900" spans="1:14" x14ac:dyDescent="0.3">
      <c r="A900" s="4" t="s">
        <v>12</v>
      </c>
      <c r="B900" s="4" t="s">
        <v>639</v>
      </c>
      <c r="C900" s="4" t="s">
        <v>121</v>
      </c>
      <c r="D900" s="4" t="s">
        <v>20</v>
      </c>
      <c r="E900" s="4" t="s">
        <v>16</v>
      </c>
      <c r="F900" s="4">
        <v>2</v>
      </c>
      <c r="G900" s="5">
        <v>55000</v>
      </c>
      <c r="H900" s="24">
        <v>95.2</v>
      </c>
      <c r="I900" s="16">
        <v>2400</v>
      </c>
      <c r="J900" s="5">
        <v>160</v>
      </c>
      <c r="K900" s="5">
        <v>1500</v>
      </c>
      <c r="L900" s="5">
        <v>1</v>
      </c>
      <c r="M900" s="5">
        <f>(International_Education_Costs!$G900+International_Education_Costs!$I900+International_Education_Costs!$J900+International_Education_Costs!$K900)*International_Education_Costs!$L900</f>
        <v>59060</v>
      </c>
      <c r="N900" s="5">
        <f>International_Education_Costs!$G900+International_Education_Costs!$I900+International_Education_Costs!$J900+International_Education_Costs!$K900</f>
        <v>59060</v>
      </c>
    </row>
    <row r="901" spans="1:14" x14ac:dyDescent="0.3">
      <c r="A901" s="6" t="s">
        <v>17</v>
      </c>
      <c r="B901" s="6" t="s">
        <v>291</v>
      </c>
      <c r="C901" s="6" t="s">
        <v>292</v>
      </c>
      <c r="D901" s="6" t="s">
        <v>63</v>
      </c>
      <c r="E901" s="6" t="s">
        <v>16</v>
      </c>
      <c r="F901" s="6">
        <v>2</v>
      </c>
      <c r="G901" s="7">
        <v>35000</v>
      </c>
      <c r="H901" s="25">
        <v>63.2</v>
      </c>
      <c r="I901" s="17">
        <v>900</v>
      </c>
      <c r="J901" s="7">
        <v>485</v>
      </c>
      <c r="K901" s="7">
        <v>800</v>
      </c>
      <c r="L901" s="7">
        <v>0.79</v>
      </c>
      <c r="M901" s="7">
        <f>(International_Education_Costs!$G901+International_Education_Costs!$I901+International_Education_Costs!$J901+International_Education_Costs!$K901)*International_Education_Costs!$L901</f>
        <v>29376.15</v>
      </c>
      <c r="N901" s="7">
        <f>International_Education_Costs!$G901+International_Education_Costs!$I901+International_Education_Costs!$J901+International_Education_Costs!$K901</f>
        <v>37185</v>
      </c>
    </row>
    <row r="902" spans="1:14" x14ac:dyDescent="0.3">
      <c r="A902" s="4" t="s">
        <v>184</v>
      </c>
      <c r="B902" s="4" t="s">
        <v>824</v>
      </c>
      <c r="C902" s="4" t="s">
        <v>825</v>
      </c>
      <c r="D902" s="4" t="s">
        <v>40</v>
      </c>
      <c r="E902" s="4" t="s">
        <v>122</v>
      </c>
      <c r="F902" s="4">
        <v>4</v>
      </c>
      <c r="G902" s="5">
        <v>2900</v>
      </c>
      <c r="H902" s="24">
        <v>63.2</v>
      </c>
      <c r="I902" s="16">
        <v>650</v>
      </c>
      <c r="J902" s="5">
        <v>80</v>
      </c>
      <c r="K902" s="5">
        <v>750</v>
      </c>
      <c r="L902" s="5">
        <v>0.92</v>
      </c>
      <c r="M902" s="5">
        <f>(International_Education_Costs!$G902+International_Education_Costs!$I902+International_Education_Costs!$J902+International_Education_Costs!$K902)*International_Education_Costs!$L902</f>
        <v>4029.6000000000004</v>
      </c>
      <c r="N902" s="5">
        <f>International_Education_Costs!$G902+International_Education_Costs!$I902+International_Education_Costs!$J902+International_Education_Costs!$K902</f>
        <v>4380</v>
      </c>
    </row>
    <row r="903" spans="1:14" x14ac:dyDescent="0.3">
      <c r="A903" s="6" t="s">
        <v>187</v>
      </c>
      <c r="B903" s="6" t="s">
        <v>836</v>
      </c>
      <c r="C903" s="6" t="s">
        <v>837</v>
      </c>
      <c r="D903" s="6" t="s">
        <v>208</v>
      </c>
      <c r="E903" s="6" t="s">
        <v>16</v>
      </c>
      <c r="F903" s="6">
        <v>2</v>
      </c>
      <c r="G903" s="7">
        <v>3400</v>
      </c>
      <c r="H903" s="25">
        <v>69.5</v>
      </c>
      <c r="I903" s="17">
        <v>900</v>
      </c>
      <c r="J903" s="7">
        <v>120</v>
      </c>
      <c r="K903" s="7">
        <v>700</v>
      </c>
      <c r="L903" s="7">
        <v>0.92</v>
      </c>
      <c r="M903" s="7">
        <f>(International_Education_Costs!$G903+International_Education_Costs!$I903+International_Education_Costs!$J903+International_Education_Costs!$K903)*International_Education_Costs!$L903</f>
        <v>4710.4000000000005</v>
      </c>
      <c r="N903" s="7">
        <f>International_Education_Costs!$G903+International_Education_Costs!$I903+International_Education_Costs!$J903+International_Education_Costs!$K903</f>
        <v>5120</v>
      </c>
    </row>
    <row r="904" spans="1:14" x14ac:dyDescent="0.3">
      <c r="A904" s="4" t="s">
        <v>44</v>
      </c>
      <c r="B904" s="4" t="s">
        <v>433</v>
      </c>
      <c r="C904" s="4" t="s">
        <v>434</v>
      </c>
      <c r="D904" s="4" t="s">
        <v>71</v>
      </c>
      <c r="E904" s="4" t="s">
        <v>16</v>
      </c>
      <c r="F904" s="4">
        <v>2</v>
      </c>
      <c r="G904" s="5">
        <v>4000</v>
      </c>
      <c r="H904" s="24">
        <v>70.2</v>
      </c>
      <c r="I904" s="16">
        <v>1000</v>
      </c>
      <c r="J904" s="5">
        <v>99</v>
      </c>
      <c r="K904" s="5">
        <v>850</v>
      </c>
      <c r="L904" s="5">
        <v>0.92</v>
      </c>
      <c r="M904" s="5">
        <f>(International_Education_Costs!$G904+International_Education_Costs!$I904+International_Education_Costs!$J904+International_Education_Costs!$K904)*International_Education_Costs!$L904</f>
        <v>5473.08</v>
      </c>
      <c r="N904" s="5">
        <f>International_Education_Costs!$G904+International_Education_Costs!$I904+International_Education_Costs!$J904+International_Education_Costs!$K904</f>
        <v>5949</v>
      </c>
    </row>
    <row r="905" spans="1:14" x14ac:dyDescent="0.3">
      <c r="A905" s="6" t="s">
        <v>168</v>
      </c>
      <c r="B905" s="6" t="s">
        <v>1349</v>
      </c>
      <c r="C905" s="6" t="s">
        <v>1350</v>
      </c>
      <c r="D905" s="6" t="s">
        <v>15</v>
      </c>
      <c r="E905" s="6" t="s">
        <v>75</v>
      </c>
      <c r="F905" s="6">
        <v>3</v>
      </c>
      <c r="G905" s="7">
        <v>6800</v>
      </c>
      <c r="H905" s="25">
        <v>50.5</v>
      </c>
      <c r="I905" s="17">
        <v>400</v>
      </c>
      <c r="J905" s="7">
        <v>120</v>
      </c>
      <c r="K905" s="7">
        <v>400</v>
      </c>
      <c r="L905" s="7">
        <v>4.6500000000000004</v>
      </c>
      <c r="M905" s="7">
        <f>(International_Education_Costs!$G905+International_Education_Costs!$I905+International_Education_Costs!$J905+International_Education_Costs!$K905)*International_Education_Costs!$L905</f>
        <v>35898</v>
      </c>
      <c r="N905" s="7">
        <f>International_Education_Costs!$G905+International_Education_Costs!$I905+International_Education_Costs!$J905+International_Education_Costs!$K905</f>
        <v>7720</v>
      </c>
    </row>
    <row r="906" spans="1:14" x14ac:dyDescent="0.3">
      <c r="A906" s="4" t="s">
        <v>376</v>
      </c>
      <c r="B906" s="4" t="s">
        <v>1351</v>
      </c>
      <c r="C906" s="4" t="s">
        <v>1352</v>
      </c>
      <c r="D906" s="4" t="s">
        <v>216</v>
      </c>
      <c r="E906" s="4" t="s">
        <v>16</v>
      </c>
      <c r="F906" s="4">
        <v>2</v>
      </c>
      <c r="G906" s="5">
        <v>4200</v>
      </c>
      <c r="H906" s="24">
        <v>64.2</v>
      </c>
      <c r="I906" s="16">
        <v>600</v>
      </c>
      <c r="J906" s="5">
        <v>200</v>
      </c>
      <c r="K906" s="5">
        <v>800</v>
      </c>
      <c r="L906" s="5">
        <v>3.75</v>
      </c>
      <c r="M906" s="5">
        <f>(International_Education_Costs!$G906+International_Education_Costs!$I906+International_Education_Costs!$J906+International_Education_Costs!$K906)*International_Education_Costs!$L906</f>
        <v>21750</v>
      </c>
      <c r="N906" s="5">
        <f>International_Education_Costs!$G906+International_Education_Costs!$I906+International_Education_Costs!$J906+International_Education_Costs!$K906</f>
        <v>5800</v>
      </c>
    </row>
    <row r="907" spans="1:14" x14ac:dyDescent="0.3">
      <c r="A907" s="6" t="s">
        <v>12</v>
      </c>
      <c r="B907" s="6" t="s">
        <v>150</v>
      </c>
      <c r="C907" s="6" t="s">
        <v>151</v>
      </c>
      <c r="D907" s="6" t="s">
        <v>242</v>
      </c>
      <c r="E907" s="6" t="s">
        <v>122</v>
      </c>
      <c r="F907" s="6">
        <v>5</v>
      </c>
      <c r="G907" s="7">
        <v>50000</v>
      </c>
      <c r="H907" s="25">
        <v>77.8</v>
      </c>
      <c r="I907" s="17">
        <v>2000</v>
      </c>
      <c r="J907" s="7">
        <v>160</v>
      </c>
      <c r="K907" s="7">
        <v>1500</v>
      </c>
      <c r="L907" s="7">
        <v>1</v>
      </c>
      <c r="M907" s="7">
        <f>(International_Education_Costs!$G907+International_Education_Costs!$I907+International_Education_Costs!$J907+International_Education_Costs!$K907)*International_Education_Costs!$L907</f>
        <v>53660</v>
      </c>
      <c r="N907" s="7">
        <f>International_Education_Costs!$G907+International_Education_Costs!$I907+International_Education_Costs!$J907+International_Education_Costs!$K907</f>
        <v>53660</v>
      </c>
    </row>
    <row r="908" spans="1:14" x14ac:dyDescent="0.3">
      <c r="A908" s="4" t="s">
        <v>17</v>
      </c>
      <c r="B908" s="4" t="s">
        <v>302</v>
      </c>
      <c r="C908" s="4" t="s">
        <v>303</v>
      </c>
      <c r="D908" s="4" t="s">
        <v>252</v>
      </c>
      <c r="E908" s="4" t="s">
        <v>16</v>
      </c>
      <c r="F908" s="4">
        <v>2</v>
      </c>
      <c r="G908" s="5">
        <v>34000</v>
      </c>
      <c r="H908" s="24">
        <v>61.2</v>
      </c>
      <c r="I908" s="16">
        <v>800</v>
      </c>
      <c r="J908" s="5">
        <v>485</v>
      </c>
      <c r="K908" s="5">
        <v>800</v>
      </c>
      <c r="L908" s="5">
        <v>0.79</v>
      </c>
      <c r="M908" s="5">
        <f>(International_Education_Costs!$G908+International_Education_Costs!$I908+International_Education_Costs!$J908+International_Education_Costs!$K908)*International_Education_Costs!$L908</f>
        <v>28507.15</v>
      </c>
      <c r="N908" s="5">
        <f>International_Education_Costs!$G908+International_Education_Costs!$I908+International_Education_Costs!$J908+International_Education_Costs!$K908</f>
        <v>36085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3910-5E6C-42C8-8EB0-3902FC8B42E0}">
  <dimension ref="A1:AK53"/>
  <sheetViews>
    <sheetView workbookViewId="0">
      <selection activeCell="C7" sqref="C7"/>
    </sheetView>
  </sheetViews>
  <sheetFormatPr defaultRowHeight="14.4" x14ac:dyDescent="0.3"/>
  <cols>
    <col min="1" max="1" width="12.44140625" bestFit="1" customWidth="1"/>
    <col min="2" max="2" width="17.21875" bestFit="1" customWidth="1"/>
    <col min="3" max="4" width="18" bestFit="1" customWidth="1"/>
    <col min="5" max="5" width="13.44140625" bestFit="1" customWidth="1"/>
    <col min="6" max="7" width="21.5546875" bestFit="1" customWidth="1"/>
    <col min="8" max="8" width="13.44140625" bestFit="1" customWidth="1"/>
    <col min="9" max="9" width="21.5546875" bestFit="1" customWidth="1"/>
    <col min="10" max="10" width="11.44140625" bestFit="1" customWidth="1"/>
    <col min="11" max="11" width="16.44140625" bestFit="1" customWidth="1"/>
    <col min="12" max="12" width="18.44140625" bestFit="1" customWidth="1"/>
    <col min="13" max="13" width="19.109375" bestFit="1" customWidth="1"/>
    <col min="14" max="14" width="11.44140625" bestFit="1" customWidth="1"/>
    <col min="15" max="15" width="14.77734375" bestFit="1" customWidth="1"/>
    <col min="16" max="16" width="20.6640625" bestFit="1" customWidth="1"/>
    <col min="17" max="17" width="19.44140625" bestFit="1" customWidth="1"/>
    <col min="18" max="18" width="17.77734375" bestFit="1" customWidth="1"/>
    <col min="19" max="19" width="16.44140625" bestFit="1" customWidth="1"/>
    <col min="20" max="20" width="24.109375" bestFit="1" customWidth="1"/>
    <col min="21" max="21" width="16.88671875" bestFit="1" customWidth="1"/>
    <col min="22" max="22" width="16.5546875" customWidth="1"/>
    <col min="23" max="23" width="20.88671875" bestFit="1" customWidth="1"/>
    <col min="24" max="24" width="17.33203125" bestFit="1" customWidth="1"/>
    <col min="25" max="25" width="17.77734375" bestFit="1" customWidth="1"/>
    <col min="26" max="26" width="19.21875" customWidth="1"/>
    <col min="27" max="27" width="12.88671875" bestFit="1" customWidth="1"/>
    <col min="28" max="28" width="14.88671875" bestFit="1" customWidth="1"/>
    <col min="29" max="29" width="12.44140625" bestFit="1" customWidth="1"/>
    <col min="30" max="30" width="15.5546875" bestFit="1" customWidth="1"/>
    <col min="31" max="31" width="12.33203125" bestFit="1" customWidth="1"/>
    <col min="32" max="32" width="6.5546875" bestFit="1" customWidth="1"/>
    <col min="33" max="33" width="14.21875" bestFit="1" customWidth="1"/>
    <col min="34" max="34" width="12.33203125" bestFit="1" customWidth="1"/>
    <col min="35" max="35" width="16.44140625" bestFit="1" customWidth="1"/>
    <col min="36" max="36" width="15.5546875" bestFit="1" customWidth="1"/>
    <col min="37" max="37" width="11.88671875" bestFit="1" customWidth="1"/>
    <col min="38" max="38" width="14" bestFit="1" customWidth="1"/>
    <col min="39" max="39" width="17.6640625" bestFit="1" customWidth="1"/>
    <col min="40" max="40" width="11.44140625" bestFit="1" customWidth="1"/>
    <col min="41" max="41" width="19.109375" bestFit="1" customWidth="1"/>
    <col min="42" max="42" width="19.5546875" bestFit="1" customWidth="1"/>
    <col min="43" max="43" width="10.33203125" bestFit="1" customWidth="1"/>
    <col min="44" max="44" width="20.44140625" bestFit="1" customWidth="1"/>
    <col min="45" max="45" width="16.44140625" bestFit="1" customWidth="1"/>
    <col min="46" max="46" width="11.44140625" bestFit="1" customWidth="1"/>
    <col min="47" max="47" width="21.88671875" bestFit="1" customWidth="1"/>
    <col min="48" max="48" width="17.44140625" bestFit="1" customWidth="1"/>
    <col min="49" max="49" width="22.77734375" bestFit="1" customWidth="1"/>
    <col min="50" max="50" width="23.21875" bestFit="1" customWidth="1"/>
    <col min="51" max="51" width="20.21875" bestFit="1" customWidth="1"/>
    <col min="52" max="52" width="7.5546875" bestFit="1" customWidth="1"/>
    <col min="53" max="53" width="15.77734375" bestFit="1" customWidth="1"/>
    <col min="54" max="54" width="15.6640625" bestFit="1" customWidth="1"/>
    <col min="55" max="55" width="19.109375" bestFit="1" customWidth="1"/>
    <col min="56" max="56" width="20.21875" bestFit="1" customWidth="1"/>
    <col min="57" max="57" width="17.88671875" bestFit="1" customWidth="1"/>
    <col min="58" max="58" width="18.109375" bestFit="1" customWidth="1"/>
    <col min="59" max="59" width="18.33203125" bestFit="1" customWidth="1"/>
    <col min="60" max="60" width="20.44140625" bestFit="1" customWidth="1"/>
    <col min="61" max="61" width="19.5546875" bestFit="1" customWidth="1"/>
    <col min="62" max="62" width="20" bestFit="1" customWidth="1"/>
    <col min="63" max="63" width="15.44140625" bestFit="1" customWidth="1"/>
    <col min="64" max="64" width="13.109375" bestFit="1" customWidth="1"/>
    <col min="65" max="65" width="16.33203125" bestFit="1" customWidth="1"/>
    <col min="66" max="66" width="15.88671875" bestFit="1" customWidth="1"/>
    <col min="67" max="67" width="11.88671875" bestFit="1" customWidth="1"/>
    <col min="68" max="68" width="20.6640625" bestFit="1" customWidth="1"/>
    <col min="69" max="69" width="12.21875" bestFit="1" customWidth="1"/>
    <col min="70" max="70" width="8.6640625" bestFit="1" customWidth="1"/>
    <col min="71" max="71" width="15.6640625" bestFit="1" customWidth="1"/>
    <col min="72" max="72" width="12.44140625" bestFit="1" customWidth="1"/>
    <col min="73" max="73" width="19.77734375" bestFit="1" customWidth="1"/>
    <col min="74" max="74" width="22.44140625" bestFit="1" customWidth="1"/>
    <col min="75" max="75" width="9.21875" bestFit="1" customWidth="1"/>
    <col min="76" max="76" width="11.44140625" bestFit="1" customWidth="1"/>
    <col min="77" max="77" width="15.109375" bestFit="1" customWidth="1"/>
    <col min="78" max="78" width="10.21875" bestFit="1" customWidth="1"/>
    <col min="79" max="79" width="18.33203125" bestFit="1" customWidth="1"/>
    <col min="80" max="80" width="18.77734375" bestFit="1" customWidth="1"/>
    <col min="81" max="81" width="16" bestFit="1" customWidth="1"/>
    <col min="82" max="82" width="11.44140625" bestFit="1" customWidth="1"/>
    <col min="83" max="83" width="11.88671875" bestFit="1" customWidth="1"/>
    <col min="84" max="84" width="18.44140625" bestFit="1" customWidth="1"/>
    <col min="85" max="85" width="14.21875" bestFit="1" customWidth="1"/>
    <col min="86" max="86" width="20" bestFit="1" customWidth="1"/>
    <col min="87" max="87" width="18.44140625" bestFit="1" customWidth="1"/>
    <col min="88" max="88" width="15.44140625" bestFit="1" customWidth="1"/>
    <col min="89" max="89" width="15.88671875" bestFit="1" customWidth="1"/>
    <col min="90" max="90" width="16.77734375" bestFit="1" customWidth="1"/>
    <col min="91" max="91" width="20.6640625" bestFit="1" customWidth="1"/>
    <col min="92" max="92" width="18.21875" bestFit="1" customWidth="1"/>
    <col min="93" max="93" width="21" bestFit="1" customWidth="1"/>
    <col min="94" max="94" width="14.109375" bestFit="1" customWidth="1"/>
  </cols>
  <sheetData>
    <row r="1" spans="1:37" x14ac:dyDescent="0.3">
      <c r="P1" s="2" t="s">
        <v>1353</v>
      </c>
      <c r="Q1" t="s">
        <v>1355</v>
      </c>
      <c r="U1" s="18" t="s">
        <v>1353</v>
      </c>
      <c r="V1" t="s">
        <v>1358</v>
      </c>
      <c r="AB1" s="18" t="s">
        <v>1353</v>
      </c>
      <c r="AC1" t="s">
        <v>1355</v>
      </c>
    </row>
    <row r="2" spans="1:37" x14ac:dyDescent="0.3">
      <c r="H2" s="2" t="s">
        <v>1353</v>
      </c>
      <c r="I2" t="s">
        <v>1358</v>
      </c>
      <c r="P2" s="3" t="s">
        <v>15</v>
      </c>
      <c r="Q2" s="15">
        <v>7864360</v>
      </c>
      <c r="U2" s="3" t="s">
        <v>12</v>
      </c>
      <c r="V2" s="15">
        <v>3998380</v>
      </c>
      <c r="AB2" s="3" t="s">
        <v>151</v>
      </c>
      <c r="AC2" s="19">
        <v>280700</v>
      </c>
      <c r="AJ2" s="18" t="s">
        <v>1353</v>
      </c>
      <c r="AK2" t="s">
        <v>1359</v>
      </c>
    </row>
    <row r="3" spans="1:37" x14ac:dyDescent="0.3">
      <c r="A3" s="2" t="s">
        <v>1353</v>
      </c>
      <c r="B3" t="s">
        <v>1355</v>
      </c>
      <c r="H3" s="3" t="s">
        <v>193</v>
      </c>
      <c r="I3" s="20">
        <v>19970</v>
      </c>
      <c r="P3" s="3" t="s">
        <v>20</v>
      </c>
      <c r="Q3" s="15">
        <v>1377530</v>
      </c>
      <c r="U3" s="3" t="s">
        <v>25</v>
      </c>
      <c r="V3" s="15">
        <v>3188200</v>
      </c>
      <c r="AB3" s="10" t="s">
        <v>12</v>
      </c>
      <c r="AC3" s="19">
        <v>280700</v>
      </c>
      <c r="AJ3" s="3" t="s">
        <v>12</v>
      </c>
      <c r="AK3" s="20">
        <v>145000</v>
      </c>
    </row>
    <row r="4" spans="1:37" x14ac:dyDescent="0.3">
      <c r="A4" s="3" t="s">
        <v>16</v>
      </c>
      <c r="B4" s="15">
        <v>6549420</v>
      </c>
      <c r="H4" s="3" t="s">
        <v>1150</v>
      </c>
      <c r="I4" s="20">
        <v>19750</v>
      </c>
      <c r="P4" s="3" t="s">
        <v>63</v>
      </c>
      <c r="Q4" s="15">
        <v>695680</v>
      </c>
      <c r="U4" s="3" t="s">
        <v>17</v>
      </c>
      <c r="V4" s="15">
        <v>3054655</v>
      </c>
      <c r="AB4" s="3" t="s">
        <v>121</v>
      </c>
      <c r="AC4" s="19">
        <v>270200</v>
      </c>
      <c r="AJ4" s="3" t="s">
        <v>25</v>
      </c>
      <c r="AK4" s="20">
        <v>117100</v>
      </c>
    </row>
    <row r="5" spans="1:37" x14ac:dyDescent="0.3">
      <c r="A5" s="3" t="s">
        <v>75</v>
      </c>
      <c r="B5" s="15">
        <v>5878430</v>
      </c>
      <c r="H5" s="3" t="s">
        <v>1240</v>
      </c>
      <c r="I5" s="20">
        <v>17800</v>
      </c>
      <c r="P5" s="3" t="s">
        <v>40</v>
      </c>
      <c r="Q5" s="15">
        <v>683460</v>
      </c>
      <c r="U5" s="3" t="s">
        <v>21</v>
      </c>
      <c r="V5" s="15">
        <v>2397210</v>
      </c>
      <c r="AB5" s="10" t="s">
        <v>12</v>
      </c>
      <c r="AC5" s="19">
        <v>270200</v>
      </c>
      <c r="AJ5" s="3" t="s">
        <v>17</v>
      </c>
      <c r="AK5" s="20">
        <v>113100</v>
      </c>
    </row>
    <row r="6" spans="1:37" x14ac:dyDescent="0.3">
      <c r="A6" s="3" t="s">
        <v>122</v>
      </c>
      <c r="B6" s="15">
        <v>2723600</v>
      </c>
      <c r="H6" s="3" t="s">
        <v>1147</v>
      </c>
      <c r="I6" s="20">
        <v>17610</v>
      </c>
      <c r="P6" s="3" t="s">
        <v>71</v>
      </c>
      <c r="Q6" s="15">
        <v>655900</v>
      </c>
      <c r="U6" s="3" t="s">
        <v>41</v>
      </c>
      <c r="V6" s="15">
        <v>656220</v>
      </c>
      <c r="AB6" s="3" t="s">
        <v>172</v>
      </c>
      <c r="AC6" s="19">
        <v>196400</v>
      </c>
      <c r="AJ6" s="3" t="s">
        <v>21</v>
      </c>
      <c r="AK6" s="20">
        <v>88750</v>
      </c>
    </row>
    <row r="7" spans="1:37" x14ac:dyDescent="0.3">
      <c r="A7" s="3" t="s">
        <v>1354</v>
      </c>
      <c r="B7" s="15">
        <v>15151450</v>
      </c>
      <c r="H7" s="3" t="s">
        <v>981</v>
      </c>
      <c r="I7" s="20">
        <v>17400</v>
      </c>
      <c r="P7" s="3" t="s">
        <v>208</v>
      </c>
      <c r="Q7" s="15">
        <v>583270</v>
      </c>
      <c r="U7" s="3" t="s">
        <v>37</v>
      </c>
      <c r="V7" s="15">
        <v>323928</v>
      </c>
      <c r="AB7" s="10" t="s">
        <v>12</v>
      </c>
      <c r="AC7" s="19">
        <v>196400</v>
      </c>
      <c r="AJ7" s="3" t="s">
        <v>48</v>
      </c>
      <c r="AK7" s="20">
        <v>33800</v>
      </c>
    </row>
    <row r="8" spans="1:37" x14ac:dyDescent="0.3">
      <c r="H8" s="3" t="s">
        <v>52</v>
      </c>
      <c r="I8" s="20">
        <v>17230</v>
      </c>
      <c r="P8" s="3" t="s">
        <v>216</v>
      </c>
      <c r="Q8" s="15">
        <v>249970</v>
      </c>
      <c r="U8" s="3" t="s">
        <v>76</v>
      </c>
      <c r="V8" s="15">
        <v>281335</v>
      </c>
      <c r="AB8" s="3" t="s">
        <v>27</v>
      </c>
      <c r="AC8" s="19">
        <v>194300</v>
      </c>
      <c r="AJ8" s="3" t="s">
        <v>1354</v>
      </c>
      <c r="AK8" s="20">
        <v>497750</v>
      </c>
    </row>
    <row r="9" spans="1:37" x14ac:dyDescent="0.3">
      <c r="H9" s="3" t="s">
        <v>1237</v>
      </c>
      <c r="I9" s="20">
        <v>16170</v>
      </c>
      <c r="P9" s="3" t="s">
        <v>28</v>
      </c>
      <c r="Q9" s="15">
        <v>235800</v>
      </c>
      <c r="U9" s="3" t="s">
        <v>355</v>
      </c>
      <c r="V9" s="15">
        <v>212810</v>
      </c>
      <c r="AB9" s="10" t="s">
        <v>25</v>
      </c>
      <c r="AC9" s="19">
        <v>194300</v>
      </c>
    </row>
    <row r="10" spans="1:37" x14ac:dyDescent="0.3">
      <c r="H10" s="3" t="s">
        <v>336</v>
      </c>
      <c r="I10" s="20">
        <v>15720</v>
      </c>
      <c r="P10" s="3" t="s">
        <v>99</v>
      </c>
      <c r="Q10" s="15">
        <v>233000</v>
      </c>
      <c r="U10" s="3" t="s">
        <v>68</v>
      </c>
      <c r="V10" s="15">
        <v>199000</v>
      </c>
      <c r="AB10" s="3" t="s">
        <v>180</v>
      </c>
      <c r="AC10" s="19">
        <v>187200</v>
      </c>
    </row>
    <row r="11" spans="1:37" x14ac:dyDescent="0.3">
      <c r="H11" s="3" t="s">
        <v>1066</v>
      </c>
      <c r="I11" s="20">
        <v>15300</v>
      </c>
      <c r="P11" s="3" t="s">
        <v>51</v>
      </c>
      <c r="Q11" s="15">
        <v>208660</v>
      </c>
      <c r="U11" s="3" t="s">
        <v>44</v>
      </c>
      <c r="V11" s="15">
        <v>177173</v>
      </c>
      <c r="AB11" s="10" t="s">
        <v>25</v>
      </c>
      <c r="AC11" s="19">
        <v>187200</v>
      </c>
    </row>
    <row r="12" spans="1:37" x14ac:dyDescent="0.3">
      <c r="H12" s="3" t="s">
        <v>109</v>
      </c>
      <c r="I12" s="20">
        <v>14150</v>
      </c>
      <c r="P12" s="3" t="s">
        <v>1354</v>
      </c>
      <c r="Q12" s="15">
        <v>12787630</v>
      </c>
      <c r="U12" s="3" t="s">
        <v>1354</v>
      </c>
      <c r="V12" s="15">
        <v>14488911</v>
      </c>
      <c r="AB12" s="3" t="s">
        <v>1354</v>
      </c>
      <c r="AC12" s="19">
        <v>1128800</v>
      </c>
    </row>
    <row r="13" spans="1:37" x14ac:dyDescent="0.3">
      <c r="A13" s="15" t="e" vm="1">
        <v>#VALUE!</v>
      </c>
      <c r="H13" s="3" t="s">
        <v>1225</v>
      </c>
      <c r="I13" s="20">
        <v>13560</v>
      </c>
    </row>
    <row r="14" spans="1:37" x14ac:dyDescent="0.3">
      <c r="H14" s="3" t="s">
        <v>972</v>
      </c>
      <c r="I14" s="20">
        <v>12340</v>
      </c>
    </row>
    <row r="15" spans="1:37" x14ac:dyDescent="0.3">
      <c r="H15" s="3" t="s">
        <v>1054</v>
      </c>
      <c r="I15" s="20">
        <v>11070</v>
      </c>
    </row>
    <row r="16" spans="1:37" x14ac:dyDescent="0.3">
      <c r="H16" s="3" t="s">
        <v>116</v>
      </c>
      <c r="I16" s="20">
        <v>10950</v>
      </c>
    </row>
    <row r="17" spans="1:9" x14ac:dyDescent="0.3">
      <c r="H17" s="3" t="s">
        <v>1156</v>
      </c>
      <c r="I17" s="20">
        <v>7910</v>
      </c>
    </row>
    <row r="18" spans="1:9" x14ac:dyDescent="0.3">
      <c r="A18" s="2" t="s">
        <v>1353</v>
      </c>
      <c r="B18" s="9" t="s">
        <v>1358</v>
      </c>
      <c r="H18" s="3" t="s">
        <v>364</v>
      </c>
      <c r="I18" s="20">
        <v>7040</v>
      </c>
    </row>
    <row r="19" spans="1:9" x14ac:dyDescent="0.3">
      <c r="A19" s="3" t="s">
        <v>16</v>
      </c>
      <c r="B19" s="9">
        <v>7368068</v>
      </c>
      <c r="H19" s="3" t="s">
        <v>112</v>
      </c>
      <c r="I19" s="20">
        <v>6490</v>
      </c>
    </row>
    <row r="20" spans="1:9" x14ac:dyDescent="0.3">
      <c r="A20" s="3" t="s">
        <v>75</v>
      </c>
      <c r="B20" s="9">
        <v>6466177</v>
      </c>
      <c r="H20" s="3" t="s">
        <v>370</v>
      </c>
      <c r="I20" s="20">
        <v>4060</v>
      </c>
    </row>
    <row r="21" spans="1:9" x14ac:dyDescent="0.3">
      <c r="A21" s="3" t="s">
        <v>122</v>
      </c>
      <c r="B21" s="9">
        <v>3022982</v>
      </c>
      <c r="H21" s="3" t="s">
        <v>382</v>
      </c>
      <c r="I21" s="20">
        <v>4020</v>
      </c>
    </row>
    <row r="22" spans="1:9" x14ac:dyDescent="0.3">
      <c r="A22" s="3" t="s">
        <v>1354</v>
      </c>
      <c r="B22" s="9">
        <v>16857227</v>
      </c>
      <c r="H22" s="3" t="s">
        <v>379</v>
      </c>
      <c r="I22" s="20">
        <v>3380</v>
      </c>
    </row>
    <row r="23" spans="1:9" x14ac:dyDescent="0.3">
      <c r="H23" s="3" t="s">
        <v>1354</v>
      </c>
      <c r="I23" s="20">
        <v>251920</v>
      </c>
    </row>
    <row r="29" spans="1:9" x14ac:dyDescent="0.3">
      <c r="D29" s="9"/>
    </row>
    <row r="35" spans="1:7" x14ac:dyDescent="0.3">
      <c r="A35" s="9"/>
    </row>
    <row r="36" spans="1:7" x14ac:dyDescent="0.3">
      <c r="A36" s="9" t="s">
        <v>1361</v>
      </c>
      <c r="G36" s="9"/>
    </row>
    <row r="37" spans="1:7" x14ac:dyDescent="0.3">
      <c r="A37" s="15">
        <v>16705.016538037486</v>
      </c>
    </row>
    <row r="40" spans="1:7" x14ac:dyDescent="0.3">
      <c r="A40" s="9" t="s">
        <v>1362</v>
      </c>
    </row>
    <row r="41" spans="1:7" x14ac:dyDescent="0.3">
      <c r="A41" s="13">
        <v>64.437486218302325</v>
      </c>
    </row>
    <row r="44" spans="1:7" x14ac:dyDescent="0.3">
      <c r="A44" s="9" t="s">
        <v>1364</v>
      </c>
    </row>
    <row r="45" spans="1:7" x14ac:dyDescent="0.3">
      <c r="A45" s="15">
        <v>969.20617420066151</v>
      </c>
    </row>
    <row r="48" spans="1:7" x14ac:dyDescent="0.3">
      <c r="A48" s="9" t="s">
        <v>1363</v>
      </c>
      <c r="C48" s="9" t="s">
        <v>1366</v>
      </c>
    </row>
    <row r="49" spans="1:3" x14ac:dyDescent="0.3">
      <c r="A49" s="15">
        <v>211.39691289966925</v>
      </c>
      <c r="C49" s="21">
        <v>907</v>
      </c>
    </row>
    <row r="51" spans="1:3" x14ac:dyDescent="0.3">
      <c r="C51" s="9" t="s">
        <v>1360</v>
      </c>
    </row>
    <row r="52" spans="1:3" x14ac:dyDescent="0.3">
      <c r="A52" s="9" t="s">
        <v>1365</v>
      </c>
      <c r="C52" s="9">
        <v>18585.696802646085</v>
      </c>
    </row>
    <row r="53" spans="1:3" x14ac:dyDescent="0.3">
      <c r="A53" s="15">
        <v>700.07717750826907</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E3AC4-C972-404F-B172-206B87DE94B0}">
  <dimension ref="A1:AB35"/>
  <sheetViews>
    <sheetView tabSelected="1" zoomScale="60" zoomScaleNormal="60" workbookViewId="0">
      <selection activeCell="U2" sqref="U2"/>
    </sheetView>
  </sheetViews>
  <sheetFormatPr defaultRowHeight="14.4" x14ac:dyDescent="0.3"/>
  <cols>
    <col min="23" max="23" width="9.6640625" customWidth="1"/>
    <col min="26" max="26" width="39" customWidth="1"/>
  </cols>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1"/>
      <c r="C2" s="1"/>
      <c r="D2" s="1"/>
      <c r="E2" s="1"/>
      <c r="F2" s="1"/>
      <c r="G2" s="1"/>
      <c r="H2" s="1"/>
      <c r="I2" s="1"/>
      <c r="J2" s="1"/>
      <c r="K2" s="1"/>
      <c r="L2" s="1"/>
      <c r="M2" s="1"/>
      <c r="N2" s="1"/>
      <c r="O2" s="1"/>
      <c r="P2" s="1"/>
      <c r="Q2" s="1"/>
      <c r="R2" s="1"/>
      <c r="S2" s="1"/>
      <c r="T2" s="1"/>
      <c r="U2" s="1"/>
      <c r="V2" s="1"/>
      <c r="W2" s="1"/>
      <c r="X2" s="1"/>
      <c r="Y2" s="1"/>
      <c r="Z2" s="1"/>
    </row>
    <row r="3" spans="1:26" x14ac:dyDescent="0.3">
      <c r="A3" s="1"/>
      <c r="B3" s="1"/>
      <c r="C3" s="1"/>
      <c r="D3" s="1"/>
      <c r="E3" s="1"/>
      <c r="F3" s="1"/>
      <c r="G3" s="1"/>
      <c r="H3" s="1"/>
      <c r="I3" s="1"/>
      <c r="J3" s="1"/>
      <c r="K3" s="1"/>
      <c r="L3" s="1"/>
      <c r="M3" s="1"/>
      <c r="N3" s="1"/>
      <c r="O3" s="1"/>
      <c r="P3" s="1"/>
      <c r="Q3" s="1"/>
      <c r="R3" s="1"/>
      <c r="S3" s="1"/>
      <c r="T3" s="1"/>
      <c r="U3" s="1"/>
      <c r="V3" s="1"/>
      <c r="W3" s="1"/>
      <c r="X3" s="1"/>
      <c r="Y3" s="1"/>
      <c r="Z3" s="1"/>
    </row>
    <row r="4" spans="1:26" x14ac:dyDescent="0.3">
      <c r="A4" s="1"/>
      <c r="B4" s="1"/>
      <c r="C4" s="1"/>
      <c r="D4" s="1"/>
      <c r="E4" s="1"/>
      <c r="F4" s="1"/>
      <c r="G4" s="1"/>
      <c r="H4" s="1"/>
      <c r="I4" s="1"/>
      <c r="J4" s="1"/>
      <c r="K4" s="1"/>
      <c r="L4" s="1"/>
      <c r="M4" s="1"/>
      <c r="N4" s="1"/>
      <c r="O4" s="1"/>
      <c r="P4" s="1"/>
      <c r="Q4" s="1"/>
      <c r="R4" s="1"/>
      <c r="S4" s="1"/>
      <c r="T4" s="1"/>
      <c r="U4" s="1"/>
      <c r="V4" s="1"/>
      <c r="W4" s="1"/>
      <c r="X4" s="1"/>
      <c r="Y4" s="1"/>
      <c r="Z4" s="1"/>
    </row>
    <row r="5" spans="1:26" x14ac:dyDescent="0.3">
      <c r="A5" s="1"/>
      <c r="B5" s="1"/>
      <c r="C5" s="1"/>
      <c r="D5" s="1"/>
      <c r="E5" s="1"/>
      <c r="F5" s="1"/>
      <c r="G5" s="1"/>
      <c r="H5" s="1"/>
      <c r="I5" s="1"/>
      <c r="J5" s="1"/>
      <c r="K5" s="1"/>
      <c r="L5" s="1"/>
      <c r="M5" s="1"/>
      <c r="N5" s="1"/>
      <c r="O5" s="1"/>
      <c r="P5" s="1"/>
      <c r="Q5" s="1"/>
      <c r="R5" s="1"/>
      <c r="S5" s="1"/>
      <c r="T5" s="1"/>
      <c r="U5" s="1"/>
      <c r="V5" s="1"/>
      <c r="W5" s="1"/>
      <c r="X5" s="1"/>
      <c r="Y5" s="1"/>
      <c r="Z5" s="1"/>
    </row>
    <row r="6" spans="1:26" x14ac:dyDescent="0.3">
      <c r="A6" s="1"/>
      <c r="B6" s="1"/>
      <c r="C6" s="1"/>
      <c r="D6" s="1"/>
      <c r="E6" s="1"/>
      <c r="F6" s="1"/>
      <c r="G6" s="1"/>
      <c r="H6" s="1"/>
      <c r="I6" s="1"/>
      <c r="J6" s="1"/>
      <c r="K6" s="1"/>
      <c r="L6" s="1"/>
      <c r="M6" s="1"/>
      <c r="N6" s="1"/>
      <c r="O6" s="1"/>
      <c r="P6" s="1"/>
      <c r="Q6" s="1"/>
      <c r="R6" s="1"/>
      <c r="S6" s="1"/>
      <c r="T6" s="1"/>
      <c r="U6" s="1"/>
      <c r="V6" s="1"/>
      <c r="W6" s="1"/>
      <c r="X6" s="1"/>
      <c r="Y6" s="1"/>
      <c r="Z6" s="1"/>
    </row>
    <row r="7" spans="1:26" x14ac:dyDescent="0.3">
      <c r="A7" s="1"/>
      <c r="B7" s="1"/>
      <c r="C7" s="1"/>
      <c r="D7" s="1"/>
      <c r="E7" s="1"/>
      <c r="F7" s="1"/>
      <c r="G7" s="1"/>
      <c r="H7" s="1"/>
      <c r="I7" s="1"/>
      <c r="J7" s="1"/>
      <c r="K7" s="1"/>
      <c r="L7" s="1"/>
      <c r="M7" s="1"/>
      <c r="N7" s="1"/>
      <c r="O7" s="1"/>
      <c r="P7" s="1"/>
      <c r="Q7" s="1"/>
      <c r="R7" s="1"/>
      <c r="S7" s="1"/>
      <c r="T7" s="1"/>
      <c r="U7" s="1"/>
      <c r="W7" s="1"/>
      <c r="X7" s="1"/>
      <c r="Y7" s="1"/>
      <c r="Z7" s="1"/>
    </row>
    <row r="8" spans="1:26" x14ac:dyDescent="0.3">
      <c r="A8" s="1"/>
      <c r="B8" s="1"/>
      <c r="C8" s="1"/>
      <c r="D8" s="1"/>
      <c r="E8" s="1"/>
      <c r="F8" s="1"/>
      <c r="G8" s="1"/>
      <c r="H8" s="1"/>
      <c r="I8" s="1"/>
      <c r="J8" s="1"/>
      <c r="K8" s="1"/>
      <c r="L8" s="1"/>
      <c r="M8" s="1"/>
      <c r="N8" s="1"/>
      <c r="O8" s="1"/>
      <c r="P8" s="1"/>
      <c r="Q8" s="1"/>
      <c r="R8" s="1"/>
      <c r="S8" s="1"/>
      <c r="T8" s="1"/>
      <c r="U8" s="1"/>
      <c r="V8" s="1"/>
      <c r="W8" s="1"/>
      <c r="X8" s="1"/>
      <c r="Y8" s="1"/>
      <c r="Z8" s="1"/>
    </row>
    <row r="9" spans="1:26" x14ac:dyDescent="0.3">
      <c r="A9" s="1"/>
      <c r="B9" s="1"/>
      <c r="C9" s="1"/>
      <c r="D9" s="1"/>
      <c r="E9" s="1"/>
      <c r="F9" s="1"/>
      <c r="G9" s="1"/>
      <c r="H9" s="1"/>
      <c r="I9" s="1"/>
      <c r="J9" s="1"/>
      <c r="K9" s="1"/>
      <c r="L9" s="1"/>
      <c r="M9" s="1"/>
      <c r="N9" s="1"/>
      <c r="O9" s="1"/>
      <c r="P9" s="1"/>
      <c r="Q9" s="1"/>
      <c r="R9" s="1"/>
      <c r="S9" s="1"/>
      <c r="T9" s="1"/>
      <c r="U9" s="1"/>
      <c r="V9" s="1"/>
      <c r="W9" s="1"/>
      <c r="X9" s="1"/>
      <c r="Y9" s="1"/>
      <c r="Z9" s="1"/>
    </row>
    <row r="10" spans="1:26"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8"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8"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8"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8"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8"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8"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8"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8"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8"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8"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8"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8"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8"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B29" s="11"/>
    </row>
    <row r="30" spans="1:28"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8"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8"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71.400000000000006"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2"/>
  <sheetViews>
    <sheetView workbookViewId="0">
      <pane ySplit="1" topLeftCell="A2" activePane="bottomLeft" state="frozen"/>
      <selection pane="bottomLeft"/>
    </sheetView>
  </sheetViews>
  <sheetFormatPr defaultRowHeight="14.4" x14ac:dyDescent="0.3"/>
  <cols>
    <col min="1" max="1" width="22" customWidth="1"/>
    <col min="2" max="2" width="28" customWidth="1"/>
    <col min="3" max="3" width="14" customWidth="1"/>
  </cols>
  <sheetData>
    <row r="1" spans="1:3" x14ac:dyDescent="0.3">
      <c r="A1" s="22" t="s">
        <v>0</v>
      </c>
      <c r="B1" s="22" t="s">
        <v>1367</v>
      </c>
      <c r="C1" s="22" t="s">
        <v>1368</v>
      </c>
    </row>
    <row r="2" spans="1:3" x14ac:dyDescent="0.3">
      <c r="A2" t="s">
        <v>370</v>
      </c>
      <c r="B2" s="19">
        <f>AVERAGEIF(International_Education_Costs!$A$2:$A$908,A2,International_Education_Costs!$N$2:$N$908)</f>
        <v>676.66666666666663</v>
      </c>
      <c r="C2">
        <f>COUNTIF(International_Education_Costs!$A$2:$A$908,A2)</f>
        <v>6</v>
      </c>
    </row>
    <row r="3" spans="1:3" x14ac:dyDescent="0.3">
      <c r="A3" t="s">
        <v>349</v>
      </c>
      <c r="B3" s="19">
        <f>AVERAGEIF(International_Education_Costs!$A$2:$A$908,A3,International_Education_Costs!$N$2:$N$908)</f>
        <v>1312.3529411764705</v>
      </c>
      <c r="C3">
        <f>COUNTIF(International_Education_Costs!$A$2:$A$908,A3)</f>
        <v>17</v>
      </c>
    </row>
    <row r="4" spans="1:3" x14ac:dyDescent="0.3">
      <c r="A4" t="s">
        <v>1156</v>
      </c>
      <c r="B4" s="19">
        <f>AVERAGEIF(International_Education_Costs!$A$2:$A$908,A4,International_Education_Costs!$N$2:$N$908)</f>
        <v>1582</v>
      </c>
      <c r="C4">
        <f>COUNTIF(International_Education_Costs!$A$2:$A$908,A4)</f>
        <v>5</v>
      </c>
    </row>
    <row r="5" spans="1:3" x14ac:dyDescent="0.3">
      <c r="A5" t="s">
        <v>52</v>
      </c>
      <c r="B5" s="19">
        <f>AVERAGEIF(International_Education_Costs!$A$2:$A$908,A5,International_Education_Costs!$N$2:$N$908)</f>
        <v>1723</v>
      </c>
      <c r="C5">
        <f>COUNTIF(International_Education_Costs!$A$2:$A$908,A5)</f>
        <v>10</v>
      </c>
    </row>
    <row r="6" spans="1:3" x14ac:dyDescent="0.3">
      <c r="A6" t="s">
        <v>193</v>
      </c>
      <c r="B6" s="19">
        <f>AVERAGEIF(International_Education_Costs!$A$2:$A$908,A6,International_Education_Costs!$N$2:$N$908)</f>
        <v>1815.4545454545455</v>
      </c>
      <c r="C6">
        <f>COUNTIF(International_Education_Costs!$A$2:$A$908,A6)</f>
        <v>11</v>
      </c>
    </row>
    <row r="7" spans="1:3" x14ac:dyDescent="0.3">
      <c r="A7" t="s">
        <v>1054</v>
      </c>
      <c r="B7" s="19">
        <f>AVERAGEIF(International_Education_Costs!$A$2:$A$908,A7,International_Education_Costs!$N$2:$N$908)</f>
        <v>1845</v>
      </c>
      <c r="C7">
        <f>COUNTIF(International_Education_Costs!$A$2:$A$908,A7)</f>
        <v>6</v>
      </c>
    </row>
    <row r="8" spans="1:3" x14ac:dyDescent="0.3">
      <c r="A8" t="s">
        <v>336</v>
      </c>
      <c r="B8" s="19">
        <f>AVERAGEIF(International_Education_Costs!$A$2:$A$908,A8,International_Education_Costs!$N$2:$N$908)</f>
        <v>1965</v>
      </c>
      <c r="C8">
        <f>COUNTIF(International_Education_Costs!$A$2:$A$908,A8)</f>
        <v>8</v>
      </c>
    </row>
    <row r="9" spans="1:3" x14ac:dyDescent="0.3">
      <c r="A9" t="s">
        <v>196</v>
      </c>
      <c r="B9" s="19">
        <f>AVERAGEIF(International_Education_Costs!$A$2:$A$908,A9,International_Education_Costs!$N$2:$N$908)</f>
        <v>1975.909090909091</v>
      </c>
      <c r="C9">
        <f>COUNTIF(International_Education_Costs!$A$2:$A$908,A9)</f>
        <v>11</v>
      </c>
    </row>
    <row r="10" spans="1:3" x14ac:dyDescent="0.3">
      <c r="A10" t="s">
        <v>29</v>
      </c>
      <c r="B10" s="19">
        <f>AVERAGEIF(International_Education_Costs!$A$2:$A$908,A10,International_Education_Costs!$N$2:$N$908)</f>
        <v>1991.6666666666667</v>
      </c>
      <c r="C10">
        <f>COUNTIF(International_Education_Costs!$A$2:$A$908,A10)</f>
        <v>33</v>
      </c>
    </row>
    <row r="11" spans="1:3" x14ac:dyDescent="0.3">
      <c r="A11" t="s">
        <v>972</v>
      </c>
      <c r="B11" s="19">
        <f>AVERAGEIF(International_Education_Costs!$A$2:$A$908,A11,International_Education_Costs!$N$2:$N$908)</f>
        <v>2056.6666666666665</v>
      </c>
      <c r="C11">
        <f>COUNTIF(International_Education_Costs!$A$2:$A$908,A11)</f>
        <v>6</v>
      </c>
    </row>
    <row r="12" spans="1:3" x14ac:dyDescent="0.3">
      <c r="A12" t="s">
        <v>339</v>
      </c>
      <c r="B12" s="19">
        <f>AVERAGEIF(International_Education_Costs!$A$2:$A$908,A12,International_Education_Costs!$N$2:$N$908)</f>
        <v>2261.1111111111113</v>
      </c>
      <c r="C12">
        <f>COUNTIF(International_Education_Costs!$A$2:$A$908,A12)</f>
        <v>9</v>
      </c>
    </row>
    <row r="13" spans="1:3" x14ac:dyDescent="0.3">
      <c r="A13" t="s">
        <v>981</v>
      </c>
      <c r="B13" s="19">
        <f>AVERAGEIF(International_Education_Costs!$A$2:$A$908,A13,International_Education_Costs!$N$2:$N$908)</f>
        <v>2485.7142857142858</v>
      </c>
      <c r="C13">
        <f>COUNTIF(International_Education_Costs!$A$2:$A$908,A13)</f>
        <v>7</v>
      </c>
    </row>
    <row r="14" spans="1:3" x14ac:dyDescent="0.3">
      <c r="A14" t="s">
        <v>1066</v>
      </c>
      <c r="B14" s="19">
        <f>AVERAGEIF(International_Education_Costs!$A$2:$A$908,A14,International_Education_Costs!$N$2:$N$908)</f>
        <v>2550</v>
      </c>
      <c r="C14">
        <f>COUNTIF(International_Education_Costs!$A$2:$A$908,A14)</f>
        <v>6</v>
      </c>
    </row>
    <row r="15" spans="1:3" x14ac:dyDescent="0.3">
      <c r="A15" t="s">
        <v>156</v>
      </c>
      <c r="B15" s="19">
        <f>AVERAGEIF(International_Education_Costs!$A$2:$A$908,A15,International_Education_Costs!$N$2:$N$908)</f>
        <v>2695</v>
      </c>
      <c r="C15">
        <f>COUNTIF(International_Education_Costs!$A$2:$A$908,A15)</f>
        <v>8</v>
      </c>
    </row>
    <row r="16" spans="1:3" x14ac:dyDescent="0.3">
      <c r="A16" t="s">
        <v>1225</v>
      </c>
      <c r="B16" s="19">
        <f>AVERAGEIF(International_Education_Costs!$A$2:$A$908,A16,International_Education_Costs!$N$2:$N$908)</f>
        <v>2712</v>
      </c>
      <c r="C16">
        <f>COUNTIF(International_Education_Costs!$A$2:$A$908,A16)</f>
        <v>5</v>
      </c>
    </row>
    <row r="17" spans="1:3" x14ac:dyDescent="0.3">
      <c r="A17" t="s">
        <v>978</v>
      </c>
      <c r="B17" s="19">
        <f>AVERAGEIF(International_Education_Costs!$A$2:$A$908,A17,International_Education_Costs!$N$2:$N$908)</f>
        <v>3017.1428571428573</v>
      </c>
      <c r="C17">
        <f>COUNTIF(International_Education_Costs!$A$2:$A$908,A17)</f>
        <v>7</v>
      </c>
    </row>
    <row r="18" spans="1:3" x14ac:dyDescent="0.3">
      <c r="A18" t="s">
        <v>1237</v>
      </c>
      <c r="B18" s="19">
        <f>AVERAGEIF(International_Education_Costs!$A$2:$A$908,A18,International_Education_Costs!$N$2:$N$908)</f>
        <v>3234</v>
      </c>
      <c r="C18">
        <f>COUNTIF(International_Education_Costs!$A$2:$A$908,A18)</f>
        <v>5</v>
      </c>
    </row>
    <row r="19" spans="1:3" x14ac:dyDescent="0.3">
      <c r="A19" t="s">
        <v>80</v>
      </c>
      <c r="B19" s="19">
        <f>AVERAGEIF(International_Education_Costs!$A$2:$A$908,A19,International_Education_Costs!$N$2:$N$908)</f>
        <v>3265.5555555555557</v>
      </c>
      <c r="C19">
        <f>COUNTIF(International_Education_Costs!$A$2:$A$908,A19)</f>
        <v>9</v>
      </c>
    </row>
    <row r="20" spans="1:3" x14ac:dyDescent="0.3">
      <c r="A20" t="s">
        <v>379</v>
      </c>
      <c r="B20" s="19">
        <f>AVERAGEIF(International_Education_Costs!$A$2:$A$908,A20,International_Education_Costs!$N$2:$N$908)</f>
        <v>3380</v>
      </c>
      <c r="C20">
        <f>COUNTIF(International_Education_Costs!$A$2:$A$908,A20)</f>
        <v>1</v>
      </c>
    </row>
    <row r="21" spans="1:3" x14ac:dyDescent="0.3">
      <c r="A21" t="s">
        <v>1147</v>
      </c>
      <c r="B21" s="19">
        <f>AVERAGEIF(International_Education_Costs!$A$2:$A$908,A21,International_Education_Costs!$N$2:$N$908)</f>
        <v>3522</v>
      </c>
      <c r="C21">
        <f>COUNTIF(International_Education_Costs!$A$2:$A$908,A21)</f>
        <v>5</v>
      </c>
    </row>
    <row r="22" spans="1:3" x14ac:dyDescent="0.3">
      <c r="A22" t="s">
        <v>1240</v>
      </c>
      <c r="B22" s="19">
        <f>AVERAGEIF(International_Education_Costs!$A$2:$A$908,A22,International_Education_Costs!$N$2:$N$908)</f>
        <v>3560</v>
      </c>
      <c r="C22">
        <f>COUNTIF(International_Education_Costs!$A$2:$A$908,A22)</f>
        <v>5</v>
      </c>
    </row>
    <row r="23" spans="1:3" x14ac:dyDescent="0.3">
      <c r="A23" t="s">
        <v>161</v>
      </c>
      <c r="B23" s="19">
        <f>AVERAGEIF(International_Education_Costs!$A$2:$A$908,A23,International_Education_Costs!$N$2:$N$908)</f>
        <v>3802.5</v>
      </c>
      <c r="C23">
        <f>COUNTIF(International_Education_Costs!$A$2:$A$908,A23)</f>
        <v>8</v>
      </c>
    </row>
    <row r="24" spans="1:3" x14ac:dyDescent="0.3">
      <c r="A24" t="s">
        <v>56</v>
      </c>
      <c r="B24" s="19">
        <f>AVERAGEIF(International_Education_Costs!$A$2:$A$908,A24,International_Education_Costs!$N$2:$N$908)</f>
        <v>3874.6666666666665</v>
      </c>
      <c r="C24">
        <f>COUNTIF(International_Education_Costs!$A$2:$A$908,A24)</f>
        <v>15</v>
      </c>
    </row>
    <row r="25" spans="1:3" x14ac:dyDescent="0.3">
      <c r="A25" t="s">
        <v>1150</v>
      </c>
      <c r="B25" s="19">
        <f>AVERAGEIF(International_Education_Costs!$A$2:$A$908,A25,International_Education_Costs!$N$2:$N$908)</f>
        <v>3950</v>
      </c>
      <c r="C25">
        <f>COUNTIF(International_Education_Costs!$A$2:$A$908,A25)</f>
        <v>5</v>
      </c>
    </row>
    <row r="26" spans="1:3" x14ac:dyDescent="0.3">
      <c r="A26" t="s">
        <v>382</v>
      </c>
      <c r="B26" s="19">
        <f>AVERAGEIF(International_Education_Costs!$A$2:$A$908,A26,International_Education_Costs!$N$2:$N$908)</f>
        <v>4020</v>
      </c>
      <c r="C26">
        <f>COUNTIF(International_Education_Costs!$A$2:$A$908,A26)</f>
        <v>1</v>
      </c>
    </row>
    <row r="27" spans="1:3" x14ac:dyDescent="0.3">
      <c r="A27" t="s">
        <v>975</v>
      </c>
      <c r="B27" s="19">
        <f>AVERAGEIF(International_Education_Costs!$A$2:$A$908,A27,International_Education_Costs!$N$2:$N$908)</f>
        <v>4243.333333333333</v>
      </c>
      <c r="C27">
        <f>COUNTIF(International_Education_Costs!$A$2:$A$908,A27)</f>
        <v>6</v>
      </c>
    </row>
    <row r="28" spans="1:3" x14ac:dyDescent="0.3">
      <c r="A28" t="s">
        <v>1243</v>
      </c>
      <c r="B28" s="19">
        <f>AVERAGEIF(International_Education_Costs!$A$2:$A$908,A28,International_Education_Costs!$N$2:$N$908)</f>
        <v>4260</v>
      </c>
      <c r="C28">
        <f>COUNTIF(International_Education_Costs!$A$2:$A$908,A28)</f>
        <v>5</v>
      </c>
    </row>
    <row r="29" spans="1:3" x14ac:dyDescent="0.3">
      <c r="A29" t="s">
        <v>1231</v>
      </c>
      <c r="B29" s="19">
        <f>AVERAGEIF(International_Education_Costs!$A$2:$A$908,A29,International_Education_Costs!$N$2:$N$908)</f>
        <v>4280</v>
      </c>
      <c r="C29">
        <f>COUNTIF(International_Education_Costs!$A$2:$A$908,A29)</f>
        <v>5</v>
      </c>
    </row>
    <row r="30" spans="1:3" x14ac:dyDescent="0.3">
      <c r="A30" t="s">
        <v>1060</v>
      </c>
      <c r="B30" s="19">
        <f>AVERAGEIF(International_Education_Costs!$A$2:$A$908,A30,International_Education_Costs!$N$2:$N$908)</f>
        <v>4453.333333333333</v>
      </c>
      <c r="C30">
        <f>COUNTIF(International_Education_Costs!$A$2:$A$908,A30)</f>
        <v>6</v>
      </c>
    </row>
    <row r="31" spans="1:3" x14ac:dyDescent="0.3">
      <c r="A31" t="s">
        <v>48</v>
      </c>
      <c r="B31" s="19">
        <f>AVERAGEIF(International_Education_Costs!$A$2:$A$908,A31,International_Education_Costs!$N$2:$N$908)</f>
        <v>4458.8</v>
      </c>
      <c r="C31">
        <f>COUNTIF(International_Education_Costs!$A$2:$A$908,A31)</f>
        <v>20</v>
      </c>
    </row>
    <row r="32" spans="1:3" x14ac:dyDescent="0.3">
      <c r="A32" t="s">
        <v>1153</v>
      </c>
      <c r="B32" s="19">
        <f>AVERAGEIF(International_Education_Costs!$A$2:$A$908,A32,International_Education_Costs!$N$2:$N$908)</f>
        <v>4602</v>
      </c>
      <c r="C32">
        <f>COUNTIF(International_Education_Costs!$A$2:$A$908,A32)</f>
        <v>5</v>
      </c>
    </row>
    <row r="33" spans="1:3" x14ac:dyDescent="0.3">
      <c r="A33" t="s">
        <v>373</v>
      </c>
      <c r="B33" s="19">
        <f>AVERAGEIF(International_Education_Costs!$A$2:$A$908,A33,International_Education_Costs!$N$2:$N$908)</f>
        <v>4602.5</v>
      </c>
      <c r="C33">
        <f>COUNTIF(International_Education_Costs!$A$2:$A$908,A33)</f>
        <v>8</v>
      </c>
    </row>
    <row r="34" spans="1:3" x14ac:dyDescent="0.3">
      <c r="A34" t="s">
        <v>184</v>
      </c>
      <c r="B34" s="19">
        <f>AVERAGEIF(International_Education_Costs!$A$2:$A$908,A34,International_Education_Costs!$N$2:$N$908)</f>
        <v>4822.9411764705883</v>
      </c>
      <c r="C34">
        <f>COUNTIF(International_Education_Costs!$A$2:$A$908,A34)</f>
        <v>17</v>
      </c>
    </row>
    <row r="35" spans="1:3" x14ac:dyDescent="0.3">
      <c r="A35" t="s">
        <v>1234</v>
      </c>
      <c r="B35" s="19">
        <f>AVERAGEIF(International_Education_Costs!$A$2:$A$908,A35,International_Education_Costs!$N$2:$N$908)</f>
        <v>5100</v>
      </c>
      <c r="C35">
        <f>COUNTIF(International_Education_Costs!$A$2:$A$908,A35)</f>
        <v>5</v>
      </c>
    </row>
    <row r="36" spans="1:3" x14ac:dyDescent="0.3">
      <c r="A36" t="s">
        <v>367</v>
      </c>
      <c r="B36" s="19">
        <f>AVERAGEIF(International_Education_Costs!$A$2:$A$908,A36,International_Education_Costs!$N$2:$N$908)</f>
        <v>5258.5714285714284</v>
      </c>
      <c r="C36">
        <f>COUNTIF(International_Education_Costs!$A$2:$A$908,A36)</f>
        <v>7</v>
      </c>
    </row>
    <row r="37" spans="1:3" x14ac:dyDescent="0.3">
      <c r="A37" t="s">
        <v>84</v>
      </c>
      <c r="B37" s="19">
        <f>AVERAGEIF(International_Education_Costs!$A$2:$A$908,A37,International_Education_Costs!$N$2:$N$908)</f>
        <v>5346.666666666667</v>
      </c>
      <c r="C37">
        <f>COUNTIF(International_Education_Costs!$A$2:$A$908,A37)</f>
        <v>9</v>
      </c>
    </row>
    <row r="38" spans="1:3" x14ac:dyDescent="0.3">
      <c r="A38" t="s">
        <v>187</v>
      </c>
      <c r="B38" s="19">
        <f>AVERAGEIF(International_Education_Costs!$A$2:$A$908,A38,International_Education_Costs!$N$2:$N$908)</f>
        <v>5364.1176470588234</v>
      </c>
      <c r="C38">
        <f>COUNTIF(International_Education_Costs!$A$2:$A$908,A38)</f>
        <v>17</v>
      </c>
    </row>
    <row r="39" spans="1:3" x14ac:dyDescent="0.3">
      <c r="A39" t="s">
        <v>1246</v>
      </c>
      <c r="B39" s="19">
        <f>AVERAGEIF(International_Education_Costs!$A$2:$A$908,A39,International_Education_Costs!$N$2:$N$908)</f>
        <v>5540</v>
      </c>
      <c r="C39">
        <f>COUNTIF(International_Education_Costs!$A$2:$A$908,A39)</f>
        <v>5</v>
      </c>
    </row>
    <row r="40" spans="1:3" x14ac:dyDescent="0.3">
      <c r="A40" t="s">
        <v>342</v>
      </c>
      <c r="B40" s="19">
        <f>AVERAGEIF(International_Education_Costs!$A$2:$A$908,A40,International_Education_Costs!$N$2:$N$908)</f>
        <v>5627.7777777777774</v>
      </c>
      <c r="C40">
        <f>COUNTIF(International_Education_Costs!$A$2:$A$908,A40)</f>
        <v>9</v>
      </c>
    </row>
    <row r="41" spans="1:3" x14ac:dyDescent="0.3">
      <c r="A41" t="s">
        <v>1063</v>
      </c>
      <c r="B41" s="19">
        <f>AVERAGEIF(International_Education_Costs!$A$2:$A$908,A41,International_Education_Costs!$N$2:$N$908)</f>
        <v>5848</v>
      </c>
      <c r="C41">
        <f>COUNTIF(International_Education_Costs!$A$2:$A$908,A41)</f>
        <v>5</v>
      </c>
    </row>
    <row r="42" spans="1:3" x14ac:dyDescent="0.3">
      <c r="A42" t="s">
        <v>376</v>
      </c>
      <c r="B42" s="19">
        <f>AVERAGEIF(International_Education_Costs!$A$2:$A$908,A42,International_Education_Costs!$N$2:$N$908)</f>
        <v>6456</v>
      </c>
      <c r="C42">
        <f>COUNTIF(International_Education_Costs!$A$2:$A$908,A42)</f>
        <v>10</v>
      </c>
    </row>
    <row r="43" spans="1:3" x14ac:dyDescent="0.3">
      <c r="A43" t="s">
        <v>112</v>
      </c>
      <c r="B43" s="19">
        <f>AVERAGEIF(International_Education_Costs!$A$2:$A$908,A43,International_Education_Costs!$N$2:$N$908)</f>
        <v>6490</v>
      </c>
      <c r="C43">
        <f>COUNTIF(International_Education_Costs!$A$2:$A$908,A43)</f>
        <v>1</v>
      </c>
    </row>
    <row r="44" spans="1:3" x14ac:dyDescent="0.3">
      <c r="A44" t="s">
        <v>847</v>
      </c>
      <c r="B44" s="19">
        <f>AVERAGEIF(International_Education_Costs!$A$2:$A$908,A44,International_Education_Costs!$N$2:$N$908)</f>
        <v>6546.25</v>
      </c>
      <c r="C44">
        <f>COUNTIF(International_Education_Costs!$A$2:$A$908,A44)</f>
        <v>8</v>
      </c>
    </row>
    <row r="45" spans="1:3" x14ac:dyDescent="0.3">
      <c r="A45" t="s">
        <v>44</v>
      </c>
      <c r="B45" s="19">
        <f>AVERAGEIF(International_Education_Costs!$A$2:$A$908,A45,International_Education_Costs!$N$2:$N$908)</f>
        <v>6561.9629629629626</v>
      </c>
      <c r="C45">
        <f>COUNTIF(International_Education_Costs!$A$2:$A$908,A45)</f>
        <v>27</v>
      </c>
    </row>
    <row r="46" spans="1:3" x14ac:dyDescent="0.3">
      <c r="A46" t="s">
        <v>346</v>
      </c>
      <c r="B46" s="19">
        <f>AVERAGEIF(International_Education_Costs!$A$2:$A$908,A46,International_Education_Costs!$N$2:$N$908)</f>
        <v>6660</v>
      </c>
      <c r="C46">
        <f>COUNTIF(International_Education_Costs!$A$2:$A$908,A46)</f>
        <v>9</v>
      </c>
    </row>
    <row r="47" spans="1:3" x14ac:dyDescent="0.3">
      <c r="A47" t="s">
        <v>105</v>
      </c>
      <c r="B47" s="19">
        <f>AVERAGEIF(International_Education_Costs!$A$2:$A$908,A47,International_Education_Costs!$N$2:$N$908)</f>
        <v>6972.2222222222226</v>
      </c>
      <c r="C47">
        <f>COUNTIF(International_Education_Costs!$A$2:$A$908,A47)</f>
        <v>9</v>
      </c>
    </row>
    <row r="48" spans="1:3" x14ac:dyDescent="0.3">
      <c r="A48" t="s">
        <v>364</v>
      </c>
      <c r="B48" s="19">
        <f>AVERAGEIF(International_Education_Costs!$A$2:$A$908,A48,International_Education_Costs!$N$2:$N$908)</f>
        <v>7040</v>
      </c>
      <c r="C48">
        <f>COUNTIF(International_Education_Costs!$A$2:$A$908,A48)</f>
        <v>1</v>
      </c>
    </row>
    <row r="49" spans="1:3" x14ac:dyDescent="0.3">
      <c r="A49" t="s">
        <v>64</v>
      </c>
      <c r="B49" s="19">
        <f>AVERAGEIF(International_Education_Costs!$A$2:$A$908,A49,International_Education_Costs!$N$2:$N$908)</f>
        <v>7508.260869565217</v>
      </c>
      <c r="C49">
        <f>COUNTIF(International_Education_Costs!$A$2:$A$908,A49)</f>
        <v>23</v>
      </c>
    </row>
    <row r="50" spans="1:3" x14ac:dyDescent="0.3">
      <c r="A50" t="s">
        <v>1159</v>
      </c>
      <c r="B50" s="19">
        <f>AVERAGEIF(International_Education_Costs!$A$2:$A$908,A50,International_Education_Costs!$N$2:$N$908)</f>
        <v>7536</v>
      </c>
      <c r="C50">
        <f>COUNTIF(International_Education_Costs!$A$2:$A$908,A50)</f>
        <v>5</v>
      </c>
    </row>
    <row r="51" spans="1:3" x14ac:dyDescent="0.3">
      <c r="A51" t="s">
        <v>1069</v>
      </c>
      <c r="B51" s="19">
        <f>AVERAGEIF(International_Education_Costs!$A$2:$A$908,A51,International_Education_Costs!$N$2:$N$908)</f>
        <v>8008.333333333333</v>
      </c>
      <c r="C51">
        <f>COUNTIF(International_Education_Costs!$A$2:$A$908,A51)</f>
        <v>6</v>
      </c>
    </row>
    <row r="52" spans="1:3" x14ac:dyDescent="0.3">
      <c r="A52" t="s">
        <v>1138</v>
      </c>
      <c r="B52" s="19">
        <f>AVERAGEIF(International_Education_Costs!$A$2:$A$908,A52,International_Education_Costs!$N$2:$N$908)</f>
        <v>8090</v>
      </c>
      <c r="C52">
        <f>COUNTIF(International_Education_Costs!$A$2:$A$908,A52)</f>
        <v>5</v>
      </c>
    </row>
    <row r="53" spans="1:3" x14ac:dyDescent="0.3">
      <c r="A53" t="s">
        <v>168</v>
      </c>
      <c r="B53" s="19">
        <f>AVERAGEIF(International_Education_Costs!$A$2:$A$908,A53,International_Education_Costs!$N$2:$N$908)</f>
        <v>8162</v>
      </c>
      <c r="C53">
        <f>COUNTIF(International_Education_Costs!$A$2:$A$908,A53)</f>
        <v>10</v>
      </c>
    </row>
    <row r="54" spans="1:3" x14ac:dyDescent="0.3">
      <c r="A54" t="s">
        <v>60</v>
      </c>
      <c r="B54" s="19">
        <f>AVERAGEIF(International_Education_Costs!$A$2:$A$908,A54,International_Education_Costs!$N$2:$N$908)</f>
        <v>8737.5</v>
      </c>
      <c r="C54">
        <f>COUNTIF(International_Education_Costs!$A$2:$A$908,A54)</f>
        <v>12</v>
      </c>
    </row>
    <row r="55" spans="1:3" x14ac:dyDescent="0.3">
      <c r="A55" t="s">
        <v>1057</v>
      </c>
      <c r="B55" s="19">
        <f>AVERAGEIF(International_Education_Costs!$A$2:$A$908,A55,International_Education_Costs!$N$2:$N$908)</f>
        <v>8851.6666666666661</v>
      </c>
      <c r="C55">
        <f>COUNTIF(International_Education_Costs!$A$2:$A$908,A55)</f>
        <v>6</v>
      </c>
    </row>
    <row r="56" spans="1:3" x14ac:dyDescent="0.3">
      <c r="A56" t="s">
        <v>1144</v>
      </c>
      <c r="B56" s="19">
        <f>AVERAGEIF(International_Education_Costs!$A$2:$A$908,A56,International_Education_Costs!$N$2:$N$908)</f>
        <v>8960</v>
      </c>
      <c r="C56">
        <f>COUNTIF(International_Education_Costs!$A$2:$A$908,A56)</f>
        <v>5</v>
      </c>
    </row>
    <row r="57" spans="1:3" x14ac:dyDescent="0.3">
      <c r="A57" t="s">
        <v>33</v>
      </c>
      <c r="B57" s="19">
        <f>AVERAGEIF(International_Education_Costs!$A$2:$A$908,A57,International_Education_Costs!$N$2:$N$908)</f>
        <v>9603.3333333333339</v>
      </c>
      <c r="C57">
        <f>COUNTIF(International_Education_Costs!$A$2:$A$908,A57)</f>
        <v>12</v>
      </c>
    </row>
    <row r="58" spans="1:3" x14ac:dyDescent="0.3">
      <c r="A58" t="s">
        <v>352</v>
      </c>
      <c r="B58" s="19">
        <f>AVERAGEIF(International_Education_Costs!$A$2:$A$908,A58,International_Education_Costs!$N$2:$N$908)</f>
        <v>10606.25</v>
      </c>
      <c r="C58">
        <f>COUNTIF(International_Education_Costs!$A$2:$A$908,A58)</f>
        <v>8</v>
      </c>
    </row>
    <row r="59" spans="1:3" x14ac:dyDescent="0.3">
      <c r="A59" t="s">
        <v>116</v>
      </c>
      <c r="B59" s="19">
        <f>AVERAGEIF(International_Education_Costs!$A$2:$A$908,A59,International_Education_Costs!$N$2:$N$908)</f>
        <v>10950</v>
      </c>
      <c r="C59">
        <f>COUNTIF(International_Education_Costs!$A$2:$A$908,A59)</f>
        <v>1</v>
      </c>
    </row>
    <row r="60" spans="1:3" x14ac:dyDescent="0.3">
      <c r="A60" t="s">
        <v>1228</v>
      </c>
      <c r="B60" s="19">
        <f>AVERAGEIF(International_Education_Costs!$A$2:$A$908,A60,International_Education_Costs!$N$2:$N$908)</f>
        <v>13356</v>
      </c>
      <c r="C60">
        <f>COUNTIF(International_Education_Costs!$A$2:$A$908,A60)</f>
        <v>5</v>
      </c>
    </row>
    <row r="61" spans="1:3" x14ac:dyDescent="0.3">
      <c r="A61" t="s">
        <v>109</v>
      </c>
      <c r="B61" s="19">
        <f>AVERAGEIF(International_Education_Costs!$A$2:$A$908,A61,International_Education_Costs!$N$2:$N$908)</f>
        <v>14150</v>
      </c>
      <c r="C61">
        <f>COUNTIF(International_Education_Costs!$A$2:$A$908,A61)</f>
        <v>1</v>
      </c>
    </row>
    <row r="62" spans="1:3" x14ac:dyDescent="0.3">
      <c r="A62" t="s">
        <v>1141</v>
      </c>
      <c r="B62" s="19">
        <f>AVERAGEIF(International_Education_Costs!$A$2:$A$908,A62,International_Education_Costs!$N$2:$N$908)</f>
        <v>15324</v>
      </c>
      <c r="C62">
        <f>COUNTIF(International_Education_Costs!$A$2:$A$908,A62)</f>
        <v>5</v>
      </c>
    </row>
    <row r="63" spans="1:3" x14ac:dyDescent="0.3">
      <c r="A63" t="s">
        <v>37</v>
      </c>
      <c r="B63" s="19">
        <f>AVERAGEIF(International_Education_Costs!$A$2:$A$908,A63,International_Education_Costs!$N$2:$N$908)</f>
        <v>15425.142857142857</v>
      </c>
      <c r="C63">
        <f>COUNTIF(International_Education_Costs!$A$2:$A$908,A63)</f>
        <v>21</v>
      </c>
    </row>
    <row r="64" spans="1:3" x14ac:dyDescent="0.3">
      <c r="A64" t="s">
        <v>68</v>
      </c>
      <c r="B64" s="19">
        <f>AVERAGEIF(International_Education_Costs!$A$2:$A$908,A64,International_Education_Costs!$N$2:$N$908)</f>
        <v>19900</v>
      </c>
      <c r="C64">
        <f>COUNTIF(International_Education_Costs!$A$2:$A$908,A64)</f>
        <v>10</v>
      </c>
    </row>
    <row r="65" spans="1:3" x14ac:dyDescent="0.3">
      <c r="A65" t="s">
        <v>103</v>
      </c>
      <c r="B65" s="19">
        <f>AVERAGEIF(International_Education_Costs!$A$2:$A$908,A65,International_Education_Costs!$N$2:$N$908)</f>
        <v>24220</v>
      </c>
      <c r="C65">
        <f>COUNTIF(International_Education_Costs!$A$2:$A$908,A65)</f>
        <v>1</v>
      </c>
    </row>
    <row r="66" spans="1:3" x14ac:dyDescent="0.3">
      <c r="A66" t="s">
        <v>355</v>
      </c>
      <c r="B66" s="19">
        <f>AVERAGEIF(International_Education_Costs!$A$2:$A$908,A66,International_Education_Costs!$N$2:$N$908)</f>
        <v>26601.25</v>
      </c>
      <c r="C66">
        <f>COUNTIF(International_Education_Costs!$A$2:$A$908,A66)</f>
        <v>8</v>
      </c>
    </row>
    <row r="67" spans="1:3" x14ac:dyDescent="0.3">
      <c r="A67" t="s">
        <v>76</v>
      </c>
      <c r="B67" s="19">
        <f>AVERAGEIF(International_Education_Costs!$A$2:$A$908,A67,International_Education_Costs!$N$2:$N$908)</f>
        <v>31259.444444444445</v>
      </c>
      <c r="C67">
        <f>COUNTIF(International_Education_Costs!$A$2:$A$908,A67)</f>
        <v>9</v>
      </c>
    </row>
    <row r="68" spans="1:3" x14ac:dyDescent="0.3">
      <c r="A68" t="s">
        <v>21</v>
      </c>
      <c r="B68" s="19">
        <f>AVERAGEIF(International_Education_Costs!$A$2:$A$908,A68,International_Education_Costs!$N$2:$N$908)</f>
        <v>31542.236842105263</v>
      </c>
      <c r="C68">
        <f>COUNTIF(International_Education_Costs!$A$2:$A$908,A68)</f>
        <v>76</v>
      </c>
    </row>
    <row r="69" spans="1:3" x14ac:dyDescent="0.3">
      <c r="A69" t="s">
        <v>17</v>
      </c>
      <c r="B69" s="19">
        <f>AVERAGEIF(International_Education_Costs!$A$2:$A$908,A69,International_Education_Costs!$N$2:$N$908)</f>
        <v>32845.752688172041</v>
      </c>
      <c r="C69">
        <f>COUNTIF(International_Education_Costs!$A$2:$A$908,A69)</f>
        <v>93</v>
      </c>
    </row>
    <row r="70" spans="1:3" x14ac:dyDescent="0.3">
      <c r="A70" t="s">
        <v>41</v>
      </c>
      <c r="B70" s="19">
        <f>AVERAGEIF(International_Education_Costs!$A$2:$A$908,A70,International_Education_Costs!$N$2:$N$908)</f>
        <v>36456.666666666664</v>
      </c>
      <c r="C70">
        <f>COUNTIF(International_Education_Costs!$A$2:$A$908,A70)</f>
        <v>18</v>
      </c>
    </row>
    <row r="71" spans="1:3" x14ac:dyDescent="0.3">
      <c r="A71" t="s">
        <v>25</v>
      </c>
      <c r="B71" s="19">
        <f>AVERAGEIF(International_Education_Costs!$A$2:$A$908,A71,International_Education_Costs!$N$2:$N$908)</f>
        <v>37072.093023255817</v>
      </c>
      <c r="C71">
        <f>COUNTIF(International_Education_Costs!$A$2:$A$908,A71)</f>
        <v>86</v>
      </c>
    </row>
    <row r="72" spans="1:3" x14ac:dyDescent="0.3">
      <c r="A72" t="s">
        <v>12</v>
      </c>
      <c r="B72" s="19">
        <f>AVERAGEIF(International_Education_Costs!$A$2:$A$908,A72,International_Education_Costs!$N$2:$N$908)</f>
        <v>51261.282051282054</v>
      </c>
      <c r="C72">
        <f>COUNTIF(International_Education_Costs!$A$2:$A$908,A72)</f>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International_Education_Costs</vt:lpstr>
      <vt:lpstr>Pivot_Table</vt:lpstr>
      <vt:lpstr>Dash_board</vt:lpstr>
      <vt:lpstr>Country_Summary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Onyinyechi Nwogbe</cp:lastModifiedBy>
  <dcterms:created xsi:type="dcterms:W3CDTF">2026-05-12T08:48:10Z</dcterms:created>
  <dcterms:modified xsi:type="dcterms:W3CDTF">2026-10-03T15:26:23Z</dcterms:modified>
</cp:coreProperties>
</file>